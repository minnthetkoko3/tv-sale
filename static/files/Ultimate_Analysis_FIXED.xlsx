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DB3274-D064-4C07-97AC-705DEAC0C96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ventory" sheetId="1" r:id="rId1"/>
    <sheet name="Sales" sheetId="2" r:id="rId2"/>
    <sheet name="Salary" sheetId="3" r:id="rId3"/>
    <sheet name="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H3" i="4"/>
  <c r="D3" i="4"/>
  <c r="B3" i="4"/>
  <c r="D2" i="4"/>
  <c r="B2" i="4"/>
  <c r="C101" i="2"/>
  <c r="E101" i="2" s="1"/>
  <c r="C100" i="2"/>
  <c r="E100" i="2" s="1"/>
  <c r="C99" i="2"/>
  <c r="E99" i="2" s="1"/>
  <c r="E98" i="2"/>
  <c r="C98" i="2"/>
  <c r="C97" i="2"/>
  <c r="E97" i="2" s="1"/>
  <c r="E96" i="2"/>
  <c r="C96" i="2"/>
  <c r="C95" i="2"/>
  <c r="E95" i="2" s="1"/>
  <c r="C94" i="2"/>
  <c r="E94" i="2" s="1"/>
  <c r="C93" i="2"/>
  <c r="E93" i="2" s="1"/>
  <c r="E92" i="2"/>
  <c r="C92" i="2"/>
  <c r="C91" i="2"/>
  <c r="E91" i="2" s="1"/>
  <c r="E90" i="2"/>
  <c r="C90" i="2"/>
  <c r="C89" i="2"/>
  <c r="E89" i="2" s="1"/>
  <c r="C88" i="2"/>
  <c r="E88" i="2" s="1"/>
  <c r="C87" i="2"/>
  <c r="E87" i="2" s="1"/>
  <c r="E86" i="2"/>
  <c r="C86" i="2"/>
  <c r="C85" i="2"/>
  <c r="E85" i="2" s="1"/>
  <c r="E84" i="2"/>
  <c r="C84" i="2"/>
  <c r="C83" i="2"/>
  <c r="E83" i="2" s="1"/>
  <c r="C82" i="2"/>
  <c r="E82" i="2" s="1"/>
  <c r="C81" i="2"/>
  <c r="E81" i="2" s="1"/>
  <c r="E80" i="2"/>
  <c r="C80" i="2"/>
  <c r="C79" i="2"/>
  <c r="E79" i="2" s="1"/>
  <c r="E78" i="2"/>
  <c r="C78" i="2"/>
  <c r="C77" i="2"/>
  <c r="E77" i="2" s="1"/>
  <c r="C76" i="2"/>
  <c r="E76" i="2" s="1"/>
  <c r="C75" i="2"/>
  <c r="E75" i="2" s="1"/>
  <c r="E74" i="2"/>
  <c r="C74" i="2"/>
  <c r="C73" i="2"/>
  <c r="E73" i="2" s="1"/>
  <c r="E72" i="2"/>
  <c r="C72" i="2"/>
  <c r="C71" i="2"/>
  <c r="E71" i="2" s="1"/>
  <c r="C70" i="2"/>
  <c r="E70" i="2" s="1"/>
  <c r="C69" i="2"/>
  <c r="E69" i="2" s="1"/>
  <c r="E68" i="2"/>
  <c r="C68" i="2"/>
  <c r="C67" i="2"/>
  <c r="E67" i="2" s="1"/>
  <c r="E66" i="2"/>
  <c r="C66" i="2"/>
  <c r="C65" i="2"/>
  <c r="E65" i="2" s="1"/>
  <c r="C64" i="2"/>
  <c r="E64" i="2" s="1"/>
  <c r="C63" i="2"/>
  <c r="E63" i="2" s="1"/>
  <c r="E62" i="2"/>
  <c r="C62" i="2"/>
  <c r="C61" i="2"/>
  <c r="E61" i="2" s="1"/>
  <c r="E60" i="2"/>
  <c r="C60" i="2"/>
  <c r="C59" i="2"/>
  <c r="E59" i="2" s="1"/>
  <c r="C58" i="2"/>
  <c r="E58" i="2" s="1"/>
  <c r="C57" i="2"/>
  <c r="E57" i="2" s="1"/>
  <c r="E56" i="2"/>
  <c r="C56" i="2"/>
  <c r="C55" i="2"/>
  <c r="E55" i="2" s="1"/>
  <c r="E54" i="2"/>
  <c r="C54" i="2"/>
  <c r="C53" i="2"/>
  <c r="E53" i="2" s="1"/>
  <c r="C52" i="2"/>
  <c r="E52" i="2" s="1"/>
  <c r="C51" i="2"/>
  <c r="E51" i="2" s="1"/>
  <c r="E50" i="2"/>
  <c r="C50" i="2"/>
  <c r="C49" i="2"/>
  <c r="E49" i="2" s="1"/>
  <c r="E48" i="2"/>
  <c r="C48" i="2"/>
  <c r="C47" i="2"/>
  <c r="E47" i="2" s="1"/>
  <c r="C46" i="2"/>
  <c r="E46" i="2" s="1"/>
  <c r="C45" i="2"/>
  <c r="E45" i="2" s="1"/>
  <c r="E44" i="2"/>
  <c r="C44" i="2"/>
  <c r="C43" i="2"/>
  <c r="E43" i="2" s="1"/>
  <c r="E42" i="2"/>
  <c r="E4" i="3" s="1"/>
  <c r="C42" i="2"/>
  <c r="C41" i="2"/>
  <c r="E41" i="2" s="1"/>
  <c r="C40" i="2"/>
  <c r="E40" i="2" s="1"/>
  <c r="C39" i="2"/>
  <c r="E39" i="2" s="1"/>
  <c r="E38" i="2"/>
  <c r="C38" i="2"/>
  <c r="C37" i="2"/>
  <c r="E37" i="2" s="1"/>
  <c r="E36" i="2"/>
  <c r="C36" i="2"/>
  <c r="C35" i="2"/>
  <c r="E35" i="2" s="1"/>
  <c r="C34" i="2"/>
  <c r="E34" i="2" s="1"/>
  <c r="C33" i="2"/>
  <c r="E33" i="2" s="1"/>
  <c r="E32" i="2"/>
  <c r="C32" i="2"/>
  <c r="C31" i="2"/>
  <c r="E31" i="2" s="1"/>
  <c r="E30" i="2"/>
  <c r="C30" i="2"/>
  <c r="C29" i="2"/>
  <c r="E29" i="2" s="1"/>
  <c r="C28" i="2"/>
  <c r="E28" i="2" s="1"/>
  <c r="C27" i="2"/>
  <c r="E27" i="2" s="1"/>
  <c r="E26" i="2"/>
  <c r="C26" i="2"/>
  <c r="C25" i="2"/>
  <c r="E25" i="2" s="1"/>
  <c r="E24" i="2"/>
  <c r="C24" i="2"/>
  <c r="C23" i="2"/>
  <c r="E23" i="2" s="1"/>
  <c r="C22" i="2"/>
  <c r="E22" i="2" s="1"/>
  <c r="C21" i="2"/>
  <c r="E21" i="2" s="1"/>
  <c r="E20" i="2"/>
  <c r="C20" i="2"/>
  <c r="C19" i="2"/>
  <c r="E19" i="2" s="1"/>
  <c r="E18" i="2"/>
  <c r="C18" i="2"/>
  <c r="C17" i="2"/>
  <c r="E17" i="2" s="1"/>
  <c r="C16" i="2"/>
  <c r="E16" i="2" s="1"/>
  <c r="C15" i="2"/>
  <c r="E15" i="2" s="1"/>
  <c r="E14" i="2"/>
  <c r="C14" i="2"/>
  <c r="C13" i="2"/>
  <c r="E13" i="2" s="1"/>
  <c r="E12" i="2"/>
  <c r="C12" i="2"/>
  <c r="C11" i="2"/>
  <c r="E11" i="2" s="1"/>
  <c r="C10" i="2"/>
  <c r="E10" i="2" s="1"/>
  <c r="C9" i="2"/>
  <c r="E9" i="2" s="1"/>
  <c r="E8" i="2"/>
  <c r="C8" i="2"/>
  <c r="C7" i="2"/>
  <c r="E7" i="2" s="1"/>
  <c r="E6" i="2"/>
  <c r="C6" i="2"/>
  <c r="C5" i="2"/>
  <c r="E5" i="2" s="1"/>
  <c r="C4" i="2"/>
  <c r="E4" i="2" s="1"/>
  <c r="C3" i="2"/>
  <c r="E3" i="2" s="1"/>
  <c r="E2" i="2"/>
  <c r="C2" i="2"/>
  <c r="H101" i="1"/>
  <c r="J101" i="1" s="1"/>
  <c r="F101" i="1"/>
  <c r="J100" i="1"/>
  <c r="H100" i="1"/>
  <c r="F100" i="1"/>
  <c r="H99" i="1"/>
  <c r="J99" i="1" s="1"/>
  <c r="F99" i="1"/>
  <c r="J98" i="1"/>
  <c r="H98" i="1"/>
  <c r="F98" i="1"/>
  <c r="H97" i="1"/>
  <c r="J97" i="1" s="1"/>
  <c r="F97" i="1"/>
  <c r="J96" i="1"/>
  <c r="H96" i="1"/>
  <c r="F96" i="1"/>
  <c r="H95" i="1"/>
  <c r="C11" i="4" s="1"/>
  <c r="F95" i="1"/>
  <c r="J94" i="1"/>
  <c r="H94" i="1"/>
  <c r="F94" i="1"/>
  <c r="H93" i="1"/>
  <c r="J93" i="1" s="1"/>
  <c r="F93" i="1"/>
  <c r="J92" i="1"/>
  <c r="H92" i="1"/>
  <c r="F92" i="1"/>
  <c r="H91" i="1"/>
  <c r="J91" i="1" s="1"/>
  <c r="F91" i="1"/>
  <c r="J90" i="1"/>
  <c r="H90" i="1"/>
  <c r="F90" i="1"/>
  <c r="H89" i="1"/>
  <c r="J89" i="1" s="1"/>
  <c r="F89" i="1"/>
  <c r="J88" i="1"/>
  <c r="H88" i="1"/>
  <c r="F88" i="1"/>
  <c r="H87" i="1"/>
  <c r="J87" i="1" s="1"/>
  <c r="F87" i="1"/>
  <c r="J86" i="1"/>
  <c r="H86" i="1"/>
  <c r="F86" i="1"/>
  <c r="H85" i="1"/>
  <c r="J85" i="1" s="1"/>
  <c r="F85" i="1"/>
  <c r="J84" i="1"/>
  <c r="H84" i="1"/>
  <c r="F84" i="1"/>
  <c r="H83" i="1"/>
  <c r="J83" i="1" s="1"/>
  <c r="F83" i="1"/>
  <c r="J82" i="1"/>
  <c r="E10" i="4" s="1"/>
  <c r="H82" i="1"/>
  <c r="C10" i="4" s="1"/>
  <c r="F82" i="1"/>
  <c r="H81" i="1"/>
  <c r="J81" i="1" s="1"/>
  <c r="F81" i="1"/>
  <c r="J80" i="1"/>
  <c r="H80" i="1"/>
  <c r="F80" i="1"/>
  <c r="H79" i="1"/>
  <c r="J79" i="1" s="1"/>
  <c r="F79" i="1"/>
  <c r="J78" i="1"/>
  <c r="H78" i="1"/>
  <c r="F78" i="1"/>
  <c r="H77" i="1"/>
  <c r="J77" i="1" s="1"/>
  <c r="F77" i="1"/>
  <c r="J76" i="1"/>
  <c r="H76" i="1"/>
  <c r="F76" i="1"/>
  <c r="H75" i="1"/>
  <c r="J75" i="1" s="1"/>
  <c r="F75" i="1"/>
  <c r="J74" i="1"/>
  <c r="H74" i="1"/>
  <c r="F74" i="1"/>
  <c r="H73" i="1"/>
  <c r="J73" i="1" s="1"/>
  <c r="F73" i="1"/>
  <c r="J72" i="1"/>
  <c r="E2" i="4" s="1"/>
  <c r="H72" i="1"/>
  <c r="C2" i="4" s="1"/>
  <c r="F72" i="1"/>
  <c r="H71" i="1"/>
  <c r="J71" i="1" s="1"/>
  <c r="F71" i="1"/>
  <c r="J70" i="1"/>
  <c r="H70" i="1"/>
  <c r="F70" i="1"/>
  <c r="H69" i="1"/>
  <c r="J69" i="1" s="1"/>
  <c r="F69" i="1"/>
  <c r="J68" i="1"/>
  <c r="H68" i="1"/>
  <c r="F68" i="1"/>
  <c r="H67" i="1"/>
  <c r="J67" i="1" s="1"/>
  <c r="F67" i="1"/>
  <c r="J66" i="1"/>
  <c r="H66" i="1"/>
  <c r="F66" i="1"/>
  <c r="H65" i="1"/>
  <c r="J65" i="1" s="1"/>
  <c r="F65" i="1"/>
  <c r="J64" i="1"/>
  <c r="H64" i="1"/>
  <c r="F64" i="1"/>
  <c r="H63" i="1"/>
  <c r="J63" i="1" s="1"/>
  <c r="F63" i="1"/>
  <c r="J62" i="1"/>
  <c r="E6" i="4" s="1"/>
  <c r="H62" i="1"/>
  <c r="F62" i="1"/>
  <c r="H61" i="1"/>
  <c r="J61" i="1" s="1"/>
  <c r="F61" i="1"/>
  <c r="J60" i="1"/>
  <c r="H60" i="1"/>
  <c r="F60" i="1"/>
  <c r="H59" i="1"/>
  <c r="J59" i="1" s="1"/>
  <c r="F59" i="1"/>
  <c r="J58" i="1"/>
  <c r="H58" i="1"/>
  <c r="F58" i="1"/>
  <c r="H57" i="1"/>
  <c r="J57" i="1" s="1"/>
  <c r="F57" i="1"/>
  <c r="J56" i="1"/>
  <c r="H56" i="1"/>
  <c r="F56" i="1"/>
  <c r="H55" i="1"/>
  <c r="J55" i="1" s="1"/>
  <c r="F55" i="1"/>
  <c r="J54" i="1"/>
  <c r="H54" i="1"/>
  <c r="F54" i="1"/>
  <c r="H53" i="1"/>
  <c r="J53" i="1" s="1"/>
  <c r="E9" i="4" s="1"/>
  <c r="F53" i="1"/>
  <c r="J52" i="1"/>
  <c r="H52" i="1"/>
  <c r="C9" i="4" s="1"/>
  <c r="F52" i="1"/>
  <c r="H51" i="1"/>
  <c r="J51" i="1" s="1"/>
  <c r="F51" i="1"/>
  <c r="J50" i="1"/>
  <c r="H50" i="1"/>
  <c r="F50" i="1"/>
  <c r="H49" i="1"/>
  <c r="J49" i="1" s="1"/>
  <c r="F49" i="1"/>
  <c r="J48" i="1"/>
  <c r="H48" i="1"/>
  <c r="F48" i="1"/>
  <c r="H47" i="1"/>
  <c r="J47" i="1" s="1"/>
  <c r="F47" i="1"/>
  <c r="J46" i="1"/>
  <c r="H46" i="1"/>
  <c r="F46" i="1"/>
  <c r="H45" i="1"/>
  <c r="J45" i="1" s="1"/>
  <c r="F45" i="1"/>
  <c r="J44" i="1"/>
  <c r="H44" i="1"/>
  <c r="F44" i="1"/>
  <c r="H43" i="1"/>
  <c r="J43" i="1" s="1"/>
  <c r="E4" i="4" s="1"/>
  <c r="F43" i="1"/>
  <c r="J42" i="1"/>
  <c r="H42" i="1"/>
  <c r="C4" i="4" s="1"/>
  <c r="F42" i="1"/>
  <c r="H41" i="1"/>
  <c r="J41" i="1" s="1"/>
  <c r="F41" i="1"/>
  <c r="J40" i="1"/>
  <c r="H40" i="1"/>
  <c r="F40" i="1"/>
  <c r="H39" i="1"/>
  <c r="J39" i="1" s="1"/>
  <c r="F39" i="1"/>
  <c r="J38" i="1"/>
  <c r="H38" i="1"/>
  <c r="F38" i="1"/>
  <c r="H37" i="1"/>
  <c r="J37" i="1" s="1"/>
  <c r="F37" i="1"/>
  <c r="J36" i="1"/>
  <c r="H36" i="1"/>
  <c r="F36" i="1"/>
  <c r="H35" i="1"/>
  <c r="J35" i="1" s="1"/>
  <c r="F35" i="1"/>
  <c r="J34" i="1"/>
  <c r="H34" i="1"/>
  <c r="F34" i="1"/>
  <c r="H33" i="1"/>
  <c r="J33" i="1" s="1"/>
  <c r="F33" i="1"/>
  <c r="J32" i="1"/>
  <c r="H32" i="1"/>
  <c r="C3" i="4" s="1"/>
  <c r="F32" i="1"/>
  <c r="H31" i="1"/>
  <c r="J31" i="1" s="1"/>
  <c r="F31" i="1"/>
  <c r="J30" i="1"/>
  <c r="H30" i="1"/>
  <c r="F30" i="1"/>
  <c r="H29" i="1"/>
  <c r="J29" i="1" s="1"/>
  <c r="F29" i="1"/>
  <c r="J28" i="1"/>
  <c r="H28" i="1"/>
  <c r="F28" i="1"/>
  <c r="H27" i="1"/>
  <c r="J27" i="1" s="1"/>
  <c r="F27" i="1"/>
  <c r="J26" i="1"/>
  <c r="H26" i="1"/>
  <c r="F26" i="1"/>
  <c r="H25" i="1"/>
  <c r="J25" i="1" s="1"/>
  <c r="F25" i="1"/>
  <c r="J24" i="1"/>
  <c r="H24" i="1"/>
  <c r="F24" i="1"/>
  <c r="H23" i="1"/>
  <c r="J23" i="1" s="1"/>
  <c r="F23" i="1"/>
  <c r="J22" i="1"/>
  <c r="E7" i="4" s="1"/>
  <c r="H22" i="1"/>
  <c r="C7" i="4" s="1"/>
  <c r="F22" i="1"/>
  <c r="H21" i="1"/>
  <c r="J21" i="1" s="1"/>
  <c r="F21" i="1"/>
  <c r="J20" i="1"/>
  <c r="H20" i="1"/>
  <c r="F20" i="1"/>
  <c r="H19" i="1"/>
  <c r="J19" i="1" s="1"/>
  <c r="F19" i="1"/>
  <c r="J18" i="1"/>
  <c r="H18" i="1"/>
  <c r="F18" i="1"/>
  <c r="H17" i="1"/>
  <c r="J17" i="1" s="1"/>
  <c r="F17" i="1"/>
  <c r="J16" i="1"/>
  <c r="H16" i="1"/>
  <c r="F16" i="1"/>
  <c r="H15" i="1"/>
  <c r="C8" i="4" s="1"/>
  <c r="F15" i="1"/>
  <c r="J14" i="1"/>
  <c r="H14" i="1"/>
  <c r="F14" i="1"/>
  <c r="H13" i="1"/>
  <c r="J13" i="1" s="1"/>
  <c r="F13" i="1"/>
  <c r="J12" i="1"/>
  <c r="H12" i="1"/>
  <c r="F12" i="1"/>
  <c r="H11" i="1"/>
  <c r="J11" i="1" s="1"/>
  <c r="F11" i="1"/>
  <c r="C11" i="1"/>
  <c r="J10" i="1"/>
  <c r="H10" i="1"/>
  <c r="F10" i="1"/>
  <c r="C10" i="1"/>
  <c r="H9" i="1"/>
  <c r="J9" i="1" s="1"/>
  <c r="F9" i="1"/>
  <c r="C9" i="1"/>
  <c r="H8" i="1"/>
  <c r="J8" i="1" s="1"/>
  <c r="F8" i="1"/>
  <c r="C8" i="1"/>
  <c r="J7" i="1"/>
  <c r="H7" i="1"/>
  <c r="F7" i="1"/>
  <c r="C7" i="1"/>
  <c r="H6" i="1"/>
  <c r="J6" i="1" s="1"/>
  <c r="F6" i="1"/>
  <c r="C6" i="1"/>
  <c r="H5" i="1"/>
  <c r="J5" i="1" s="1"/>
  <c r="F5" i="1"/>
  <c r="C5" i="1"/>
  <c r="J4" i="1"/>
  <c r="H4" i="1"/>
  <c r="F4" i="1"/>
  <c r="C4" i="1"/>
  <c r="H3" i="1"/>
  <c r="J3" i="1" s="1"/>
  <c r="F3" i="1"/>
  <c r="C3" i="1"/>
  <c r="H2" i="1"/>
  <c r="J2" i="1" s="1"/>
  <c r="F2" i="1"/>
  <c r="E5" i="3" l="1"/>
  <c r="E6" i="3"/>
  <c r="H2" i="4"/>
  <c r="E2" i="3"/>
  <c r="E11" i="4"/>
  <c r="E3" i="3"/>
  <c r="E8" i="4"/>
  <c r="E3" i="4"/>
  <c r="F4" i="3"/>
  <c r="O4" i="4"/>
  <c r="E5" i="4"/>
  <c r="C6" i="4"/>
  <c r="C5" i="4"/>
  <c r="J15" i="1"/>
  <c r="J95" i="1"/>
  <c r="O3" i="4" l="1"/>
  <c r="F3" i="3"/>
  <c r="O2" i="4"/>
  <c r="J2" i="4"/>
  <c r="F2" i="3"/>
  <c r="F6" i="3"/>
  <c r="O6" i="4"/>
  <c r="G4" i="3"/>
  <c r="Q4" i="4" s="1"/>
  <c r="P4" i="4"/>
  <c r="F5" i="3"/>
  <c r="O5" i="4"/>
  <c r="P6" i="4" l="1"/>
  <c r="G6" i="3"/>
  <c r="Q6" i="4" s="1"/>
  <c r="G5" i="3"/>
  <c r="Q5" i="4" s="1"/>
  <c r="P5" i="4"/>
  <c r="P3" i="4"/>
  <c r="G3" i="3"/>
  <c r="Q3" i="4" s="1"/>
  <c r="P2" i="4"/>
  <c r="K2" i="4"/>
  <c r="G2" i="3"/>
  <c r="L2" i="4" l="1"/>
  <c r="Q2" i="4"/>
</calcChain>
</file>

<file path=xl/sharedStrings.xml><?xml version="1.0" encoding="utf-8"?>
<sst xmlns="http://schemas.openxmlformats.org/spreadsheetml/2006/main" count="660" uniqueCount="348">
  <si>
    <t>Brand Name</t>
  </si>
  <si>
    <t>Model Name</t>
  </si>
  <si>
    <t>Product ID</t>
  </si>
  <si>
    <t xml:space="preserve">Desription </t>
  </si>
  <si>
    <t xml:space="preserve">Cost Price </t>
  </si>
  <si>
    <t xml:space="preserve">Selling Price </t>
  </si>
  <si>
    <t>Quantity Bought</t>
  </si>
  <si>
    <t>Quantity Sold</t>
  </si>
  <si>
    <t>Promo Quantity</t>
  </si>
  <si>
    <t>Stock Left</t>
  </si>
  <si>
    <t>Samsung</t>
  </si>
  <si>
    <t>SAM-Q60A</t>
  </si>
  <si>
    <t>TV-Sam-001</t>
  </si>
  <si>
    <t>OLED 50-inch 4K Ultra HD Smart TV with HDR</t>
  </si>
  <si>
    <t>SAM-Q70A</t>
  </si>
  <si>
    <t>OLED 55-inch 4K Smart TV with Dolby Vision</t>
  </si>
  <si>
    <t>SAM-Q80A</t>
  </si>
  <si>
    <t>OLED 65-inch Ultra HD TV with cinematic colors</t>
  </si>
  <si>
    <t>SAM-Q90A</t>
  </si>
  <si>
    <t>OLED 48-inch Smart TV with ultra-thin design</t>
  </si>
  <si>
    <t>SAM-AU7000</t>
  </si>
  <si>
    <t>OLED 77-inch premium 4K Smart TV</t>
  </si>
  <si>
    <t>SAM-AU8000</t>
  </si>
  <si>
    <t>QLED 50-inch 4K Smart TV with vibrant display</t>
  </si>
  <si>
    <t>SAM-TU7000</t>
  </si>
  <si>
    <t>QLED 55-inch HDR Smart TV with wide color gamut</t>
  </si>
  <si>
    <t>SAM-TU8000</t>
  </si>
  <si>
    <t>QLED 65-inch Ultra HD TV with quantum color</t>
  </si>
  <si>
    <t>SAM-S95B</t>
  </si>
  <si>
    <t>QLED 43-inch 4K Smart TV for home use</t>
  </si>
  <si>
    <t>LG</t>
  </si>
  <si>
    <t>LG-UQ7500</t>
  </si>
  <si>
    <t>TV-LG-001</t>
  </si>
  <si>
    <t>LED 32-inch HD Ready TV with slim bezels</t>
  </si>
  <si>
    <t>LG-UQ8000</t>
  </si>
  <si>
    <t>TV-LG-002</t>
  </si>
  <si>
    <t>LED 40-inch Full HD TV with clear motion</t>
  </si>
  <si>
    <t>LG-NANO75</t>
  </si>
  <si>
    <t>TV-LG-003</t>
  </si>
  <si>
    <t>LED 43-inch Smart TV with built-in apps</t>
  </si>
  <si>
    <t>LG-NANO85</t>
  </si>
  <si>
    <t>TV-LG-004</t>
  </si>
  <si>
    <t>LED 50-inch 4K Ultra HD Smart TV</t>
  </si>
  <si>
    <t>LG-NANO90</t>
  </si>
  <si>
    <t>TV-LG-005</t>
  </si>
  <si>
    <t>LED 55-inch Smart TV with HDR support</t>
  </si>
  <si>
    <t>LG-C1</t>
  </si>
  <si>
    <t>TV-LG-006</t>
  </si>
  <si>
    <t>LED 65-inch 4K TV with enhanced contrast</t>
  </si>
  <si>
    <t>LG-C2</t>
  </si>
  <si>
    <t>TV-LG-007</t>
  </si>
  <si>
    <t>LED 75-inch Ultra HD TV for home cinema</t>
  </si>
  <si>
    <t>LG-G1</t>
  </si>
  <si>
    <t>TV-LG-008</t>
  </si>
  <si>
    <t>LED 24-inch HD TV for small rooms</t>
  </si>
  <si>
    <t>LG-B2</t>
  </si>
  <si>
    <t>TV-LG-009</t>
  </si>
  <si>
    <t>LED 28-inch compact HD television</t>
  </si>
  <si>
    <t>LG-QNED80</t>
  </si>
  <si>
    <t>TV-LG-010</t>
  </si>
  <si>
    <t>LED 60-inch Smart TV with immersive display</t>
  </si>
  <si>
    <t>Sony</t>
  </si>
  <si>
    <t>SONY-X75K</t>
  </si>
  <si>
    <t>TV-Son-001</t>
  </si>
  <si>
    <t>Mini-LED 55-inch 4K Smart TV with deep blacks</t>
  </si>
  <si>
    <t>SONY-X80K</t>
  </si>
  <si>
    <t>TV-Son-002</t>
  </si>
  <si>
    <t>Mini-LED 65-inch Ultra HD TV with high brightness</t>
  </si>
  <si>
    <t>SONY-X85K</t>
  </si>
  <si>
    <t>TV-Son-003</t>
  </si>
  <si>
    <t>Mini-LED 75-inch premium Smart TV</t>
  </si>
  <si>
    <t>SONY-X90K</t>
  </si>
  <si>
    <t>TV-Son-004</t>
  </si>
  <si>
    <t>Mini-LED 85-inch cinema-grade 4K TV</t>
  </si>
  <si>
    <t>SONY-A80J</t>
  </si>
  <si>
    <t>TV-Son-005</t>
  </si>
  <si>
    <t>Mini-LED 50-inch HDR Smart Television</t>
  </si>
  <si>
    <t>SONY-A90J</t>
  </si>
  <si>
    <t>TV-Son-006</t>
  </si>
  <si>
    <t>NanoCell 43-inch 4K Smart TV with pure colors</t>
  </si>
  <si>
    <t>SONY-X95K</t>
  </si>
  <si>
    <t>TV-Son-007</t>
  </si>
  <si>
    <t>NanoCell 50-inch Ultra HD TV with AI processing</t>
  </si>
  <si>
    <t>SONY-Z9K</t>
  </si>
  <si>
    <t>TV-Son-008</t>
  </si>
  <si>
    <t>NanoCell 55-inch Smart TV with wide viewing angle</t>
  </si>
  <si>
    <t>SONY-W800</t>
  </si>
  <si>
    <t>TV-Son-009</t>
  </si>
  <si>
    <t>NanoCell 65-inch 4K TV with enhanced clarity</t>
  </si>
  <si>
    <t>SONY-X70</t>
  </si>
  <si>
    <t>TV-Son-010</t>
  </si>
  <si>
    <t>NanoCell 75-inch Smart TV for entertainment</t>
  </si>
  <si>
    <t>TCL</t>
  </si>
  <si>
    <t>TCL-P615</t>
  </si>
  <si>
    <t>TV-TCL-001</t>
  </si>
  <si>
    <t>UHD 50-inch 4K Smart TV with sharp resolution</t>
  </si>
  <si>
    <t>TCL-P725</t>
  </si>
  <si>
    <t>TV-TCL-002</t>
  </si>
  <si>
    <t>UHD 55-inch Ultra HD TV with smart features</t>
  </si>
  <si>
    <t>TCL-P735</t>
  </si>
  <si>
    <t>TV-TCL-003</t>
  </si>
  <si>
    <t>UHD 65-inch 4K Smart Television</t>
  </si>
  <si>
    <t>TCL-C635</t>
  </si>
  <si>
    <t>TV-TCL-004</t>
  </si>
  <si>
    <t>UHD 70-inch large-screen Smart TV</t>
  </si>
  <si>
    <t>TCL-C735</t>
  </si>
  <si>
    <t>TV-TCL-005</t>
  </si>
  <si>
    <t>UHD 85-inch 4K TV for premium viewing</t>
  </si>
  <si>
    <t>TCL-C825</t>
  </si>
  <si>
    <t>TV-TCL-006</t>
  </si>
  <si>
    <t>Full HD 40-inch Smart TV with vivid picture</t>
  </si>
  <si>
    <t>TCL-S6500</t>
  </si>
  <si>
    <t>TV-TCL-007</t>
  </si>
  <si>
    <t>Full HD 43-inch LED TV with smart apps</t>
  </si>
  <si>
    <t>TCL-S6800</t>
  </si>
  <si>
    <t>TV-TCL-008</t>
  </si>
  <si>
    <t>Full HD 50-inch television with smooth motion</t>
  </si>
  <si>
    <t>TCL-R646</t>
  </si>
  <si>
    <t>TV-TCL-009</t>
  </si>
  <si>
    <t>Full HD 32-inch Smart TV for everyday use</t>
  </si>
  <si>
    <t>TCL-QLED730</t>
  </si>
  <si>
    <t>TV-TCL-010</t>
  </si>
  <si>
    <t>Full HD 27-inch compact television</t>
  </si>
  <si>
    <t>Hisense</t>
  </si>
  <si>
    <t>HIS-A6G</t>
  </si>
  <si>
    <t>TV-His-001</t>
  </si>
  <si>
    <t>Smart Android TV 50-inch with Google services</t>
  </si>
  <si>
    <t>HIS-A7G</t>
  </si>
  <si>
    <t>TV-His-002</t>
  </si>
  <si>
    <t>Smart Android TV 55-inch with voice control</t>
  </si>
  <si>
    <t>HIS-U6G</t>
  </si>
  <si>
    <t>TV-His-003</t>
  </si>
  <si>
    <t>Smart Android TV 65-inch Ultra HD</t>
  </si>
  <si>
    <t>HIS-U7G</t>
  </si>
  <si>
    <t>TV-His-004</t>
  </si>
  <si>
    <t>Smart Android TV 43-inch Full HD</t>
  </si>
  <si>
    <t>HIS-U8G</t>
  </si>
  <si>
    <t>TV-His-005</t>
  </si>
  <si>
    <t>Smart Android TV 75-inch 4K display</t>
  </si>
  <si>
    <t>HIS-E7H</t>
  </si>
  <si>
    <t>TV-His-006</t>
  </si>
  <si>
    <t>Gaming TV 55-inch 4K with low input lag</t>
  </si>
  <si>
    <t>HIS-A65H</t>
  </si>
  <si>
    <t>TV-His-007</t>
  </si>
  <si>
    <t>Gaming TV 65-inch Ultra HD with VRR support</t>
  </si>
  <si>
    <t>HIS-U6H</t>
  </si>
  <si>
    <t>TV-His-008</t>
  </si>
  <si>
    <t>Gaming TV 50-inch Smart TV with fast refresh</t>
  </si>
  <si>
    <t>HIS-U7H</t>
  </si>
  <si>
    <t>TV-His-009</t>
  </si>
  <si>
    <t>Gaming TV 75-inch large-screen 4K</t>
  </si>
  <si>
    <t>HIS-A4H</t>
  </si>
  <si>
    <t>TV-His-010</t>
  </si>
  <si>
    <t>Gaming TV 43-inch optimized for consoles</t>
  </si>
  <si>
    <t>Sharp</t>
  </si>
  <si>
    <t>SHP-AQUOS4T</t>
  </si>
  <si>
    <t>TV-Sha-001</t>
  </si>
  <si>
    <t>Curved 55-inch 4K Smart TV</t>
  </si>
  <si>
    <t>SHP-AQUOS5T</t>
  </si>
  <si>
    <t>TV-Sha-002</t>
  </si>
  <si>
    <t>Curved 65-inch Ultra HD TV with immersive view</t>
  </si>
  <si>
    <t>SHP-2T-C45</t>
  </si>
  <si>
    <t>TV-Sha-003</t>
  </si>
  <si>
    <t>Curved 50-inch Smart TV with modern design</t>
  </si>
  <si>
    <t>SHP-2T-C50</t>
  </si>
  <si>
    <t>TV-Sha-004</t>
  </si>
  <si>
    <t>Curved 75-inch premium 4K television</t>
  </si>
  <si>
    <t>SHP-2T-C60</t>
  </si>
  <si>
    <t>TV-Sha-005</t>
  </si>
  <si>
    <t>Curved 43-inch Smart LED TV</t>
  </si>
  <si>
    <t>SHP-2T-C70</t>
  </si>
  <si>
    <t>TV-Sha-006</t>
  </si>
  <si>
    <t>Frameless 50-inch Smart TV with sleek design</t>
  </si>
  <si>
    <t>SHP-AQ70</t>
  </si>
  <si>
    <t>TV-Sha-007</t>
  </si>
  <si>
    <t>Frameless 55-inch Ultra HD TV</t>
  </si>
  <si>
    <t>SHP-AQ80</t>
  </si>
  <si>
    <t>TV-Sha-008</t>
  </si>
  <si>
    <t>Frameless 65-inch 4K Smart TV</t>
  </si>
  <si>
    <t>SHP-LE580</t>
  </si>
  <si>
    <t>TV-Sha-009</t>
  </si>
  <si>
    <t>Frameless 75-inch large display television</t>
  </si>
  <si>
    <t>SHP-LE680</t>
  </si>
  <si>
    <t>TV-Sha-010</t>
  </si>
  <si>
    <t>Frameless 43-inch Full HD TV</t>
  </si>
  <si>
    <t>Philips</t>
  </si>
  <si>
    <t>PHI-6500</t>
  </si>
  <si>
    <t>TV-Phi-001</t>
  </si>
  <si>
    <t>Budget 32-inch HD Smart TV</t>
  </si>
  <si>
    <t>PHI-6800</t>
  </si>
  <si>
    <t>TV-Phi-002</t>
  </si>
  <si>
    <t>Budget 40-inch Full HD Smart TV</t>
  </si>
  <si>
    <t>PHI-7000</t>
  </si>
  <si>
    <t>TV-Phi-003</t>
  </si>
  <si>
    <t>Budget 43-inch 4K Smart TV</t>
  </si>
  <si>
    <t>PHI-7300</t>
  </si>
  <si>
    <t>TV-Phi-004</t>
  </si>
  <si>
    <t>Budget 50-inch Ultra HD TV</t>
  </si>
  <si>
    <t>PHI-7600</t>
  </si>
  <si>
    <t>TV-Phi-005</t>
  </si>
  <si>
    <t>Budget 55-inch Smart LED TV</t>
  </si>
  <si>
    <t>PHI-OLED705</t>
  </si>
  <si>
    <t>TV-Phi-006</t>
  </si>
  <si>
    <t>Premium 55-inch OLED Smart TV</t>
  </si>
  <si>
    <t>PHI-OLED805</t>
  </si>
  <si>
    <t>TV-Phi-007</t>
  </si>
  <si>
    <t>Premium 65-inch QLED Ultra HD TV</t>
  </si>
  <si>
    <t>PHI-PUS8505</t>
  </si>
  <si>
    <t>TV-Phi-008</t>
  </si>
  <si>
    <t>Premium 75-inch Mini-LED Smart TV</t>
  </si>
  <si>
    <t>PHI-PUS9206</t>
  </si>
  <si>
    <t>TV-Phi-009</t>
  </si>
  <si>
    <t>Premium 85-inch 4K home cinema TV</t>
  </si>
  <si>
    <t>PHI-PUS9435</t>
  </si>
  <si>
    <t>TV-Phi-010</t>
  </si>
  <si>
    <t>Premium 50-inch Smart Television</t>
  </si>
  <si>
    <t>Panasonic</t>
  </si>
  <si>
    <t>PAN-TH40</t>
  </si>
  <si>
    <t>TV-Pan-001</t>
  </si>
  <si>
    <t>Office 24-inch HD LED TV</t>
  </si>
  <si>
    <t>PAN-TH43</t>
  </si>
  <si>
    <t>TV-Pan-002</t>
  </si>
  <si>
    <t>Office 28-inch compact Smart TV</t>
  </si>
  <si>
    <t>PAN-TH50</t>
  </si>
  <si>
    <t>TV-Pan-003</t>
  </si>
  <si>
    <t>Office 32-inch Full HD television</t>
  </si>
  <si>
    <t>PAN-TH55</t>
  </si>
  <si>
    <t>TV-Pan-004</t>
  </si>
  <si>
    <t>Office 40-inch Smart LED TV</t>
  </si>
  <si>
    <t>PAN-JX600</t>
  </si>
  <si>
    <t>TV-Pan-005</t>
  </si>
  <si>
    <t>Office 43-inch 4K Smart TV</t>
  </si>
  <si>
    <t>PAN-JX750</t>
  </si>
  <si>
    <t>TV-Pan-006</t>
  </si>
  <si>
    <t>Home cinema 65-inch Ultra HD TV</t>
  </si>
  <si>
    <t>PAN-JX850</t>
  </si>
  <si>
    <t>TV-Pan-007</t>
  </si>
  <si>
    <t>Home cinema 75-inch 4K Smart TV</t>
  </si>
  <si>
    <t>PAN-HX650</t>
  </si>
  <si>
    <t>TV-Pan-008</t>
  </si>
  <si>
    <t>Home cinema 85-inch premium display TV</t>
  </si>
  <si>
    <t>PAN-HX750</t>
  </si>
  <si>
    <t>TV-Pan-009</t>
  </si>
  <si>
    <t>Home cinema 55-inch OLED television</t>
  </si>
  <si>
    <t>PAN-HX850</t>
  </si>
  <si>
    <t>TV-Pan-010</t>
  </si>
  <si>
    <t>Home cinema 50-inch Smart TV</t>
  </si>
  <si>
    <t>Xiaomi</t>
  </si>
  <si>
    <t>MI-TV4A</t>
  </si>
  <si>
    <t>TV-Xia-001</t>
  </si>
  <si>
    <t>Entry-level 32-inch HD television</t>
  </si>
  <si>
    <t>MI-TV4S</t>
  </si>
  <si>
    <t>TV-Xia-002</t>
  </si>
  <si>
    <t>Entry-level 40-inch Full HD TV</t>
  </si>
  <si>
    <t>MI-P1</t>
  </si>
  <si>
    <t>TV-Xia-003</t>
  </si>
  <si>
    <t>Entry-level 43-inch Smart TV</t>
  </si>
  <si>
    <t>MI-Q1</t>
  </si>
  <si>
    <t>TV-Xia-004</t>
  </si>
  <si>
    <t>Entry-level 50-inch 4K TV</t>
  </si>
  <si>
    <t>MI-QLED75</t>
  </si>
  <si>
    <t>TV-Xia-005</t>
  </si>
  <si>
    <t>Entry-level 55-inch Smart LED TV</t>
  </si>
  <si>
    <t>MI-A2</t>
  </si>
  <si>
    <t>TV-Xia-006</t>
  </si>
  <si>
    <t>Energy-efficient 43-inch Smart TV</t>
  </si>
  <si>
    <t>MI-A2FHD</t>
  </si>
  <si>
    <t>TV-Xia-007</t>
  </si>
  <si>
    <t>Energy-efficient 50-inch Ultra HD TV</t>
  </si>
  <si>
    <t>MI-5X</t>
  </si>
  <si>
    <t>TV-Xia-008</t>
  </si>
  <si>
    <t>Energy-efficient 55-inch Smart LED TV</t>
  </si>
  <si>
    <t>MI-5A</t>
  </si>
  <si>
    <t>TV-Xia-009</t>
  </si>
  <si>
    <t>Energy-efficient 65-inch 4K television</t>
  </si>
  <si>
    <t>MI-ES55</t>
  </si>
  <si>
    <t>TV-Xia-010</t>
  </si>
  <si>
    <t>Energy-efficient 75-inch Smart TV</t>
  </si>
  <si>
    <t>Toshiba</t>
  </si>
  <si>
    <t>TOS-U5050</t>
  </si>
  <si>
    <t>TV-Tos-001</t>
  </si>
  <si>
    <t>Family-use 50-inch Smart TV</t>
  </si>
  <si>
    <t>TOS-U6050</t>
  </si>
  <si>
    <t>TV-Tos-002</t>
  </si>
  <si>
    <t>Family-use 55-inch Ultra HD TV</t>
  </si>
  <si>
    <t>TOS-C350</t>
  </si>
  <si>
    <t>TV-Tos-003</t>
  </si>
  <si>
    <t>Family-use 65-inch Smart television</t>
  </si>
  <si>
    <t>TOS-C450</t>
  </si>
  <si>
    <t>TV-Tos-004</t>
  </si>
  <si>
    <t>Family-use 75-inch large-screen TV</t>
  </si>
  <si>
    <t>TOS-M550</t>
  </si>
  <si>
    <t>TV-Tos-005</t>
  </si>
  <si>
    <t>Family-use 43-inch Full HD TV</t>
  </si>
  <si>
    <t>TOS-M650</t>
  </si>
  <si>
    <t>TV-Tos-006</t>
  </si>
  <si>
    <t>Luxury 65-inch OLED 4K Smart TV</t>
  </si>
  <si>
    <t>TOS-V35</t>
  </si>
  <si>
    <t>TV-Tos-007</t>
  </si>
  <si>
    <t>Luxury 75-inch QLED Ultra HD TV</t>
  </si>
  <si>
    <t>TOS-V45</t>
  </si>
  <si>
    <t>TV-Tos-008</t>
  </si>
  <si>
    <t>Luxury 85-inch premium Smart TV</t>
  </si>
  <si>
    <t>TOS-X9900</t>
  </si>
  <si>
    <t>TV-Tos-009</t>
  </si>
  <si>
    <t>Luxury 55-inch Mini-LED television</t>
  </si>
  <si>
    <t>TOS-Z670</t>
  </si>
  <si>
    <t>TV-Tos-010</t>
  </si>
  <si>
    <t>Luxury 50-inch OLED Smart TV</t>
  </si>
  <si>
    <t>Brand</t>
  </si>
  <si>
    <t>Model</t>
  </si>
  <si>
    <t>Selling Price</t>
  </si>
  <si>
    <t>Total Revenue</t>
  </si>
  <si>
    <t xml:space="preserve">Employee's ID </t>
  </si>
  <si>
    <t xml:space="preserve">Name </t>
  </si>
  <si>
    <t xml:space="preserve">Brand Name </t>
  </si>
  <si>
    <t xml:space="preserve">fix monthly salary </t>
  </si>
  <si>
    <t xml:space="preserve">Total Sales Revenue </t>
  </si>
  <si>
    <t xml:space="preserve">Commission </t>
  </si>
  <si>
    <t xml:space="preserve">Total salary for Jan </t>
  </si>
  <si>
    <t>EMP-001</t>
  </si>
  <si>
    <t xml:space="preserve">Adam </t>
  </si>
  <si>
    <t>Samsung &amp; LG</t>
  </si>
  <si>
    <t>EMP-002</t>
  </si>
  <si>
    <t xml:space="preserve">Brian </t>
  </si>
  <si>
    <t>Sony &amp; TCL</t>
  </si>
  <si>
    <t>EMP-003</t>
  </si>
  <si>
    <t xml:space="preserve">Chloe </t>
  </si>
  <si>
    <t>Hisense &amp; Sharp</t>
  </si>
  <si>
    <t>EMP-004</t>
  </si>
  <si>
    <t xml:space="preserve">Daniel </t>
  </si>
  <si>
    <t xml:space="preserve">Panasonic &amp; Philips </t>
  </si>
  <si>
    <t>EMP-005</t>
  </si>
  <si>
    <t xml:space="preserve">Ethan </t>
  </si>
  <si>
    <t>Xiaomi &amp; Toshiba</t>
  </si>
  <si>
    <t>Total Bought</t>
  </si>
  <si>
    <t>Total Sold</t>
  </si>
  <si>
    <t>Metric</t>
  </si>
  <si>
    <t>Value</t>
  </si>
  <si>
    <t>SUM Total Sales Revenue</t>
  </si>
  <si>
    <t>SUM Commission</t>
  </si>
  <si>
    <t>SUM Final Salary</t>
  </si>
  <si>
    <t>Employee</t>
  </si>
  <si>
    <t>Total Sales Revenue</t>
  </si>
  <si>
    <t>Commission</t>
  </si>
  <si>
    <t>Final Salary</t>
  </si>
  <si>
    <t>Total Quantity Sold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</si>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</sst>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164" formatCode="[$RM-43E]#,##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/>
    <xf numFmtId="42" fontId="2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164" fontId="0" fillId="0" borderId="0" xfId="2" applyNumberFormat="1" applyFont="1"/>
    <xf numFmtId="164" fontId="1" fillId="0" borderId="0" xfId="2" applyNumberFormat="1" applyFont="1"/>
    <xf numFmtId="0" fontId="3" fillId="0" borderId="0" xfId="0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</cellXfs>
  <cellStyles count="3">
    <cellStyle name="Comma [0]" xfId="1" builtinId="6"/>
    <cellStyle name="Currency [0]" xfId="2" builtinId="7"/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[$RM-43E]#,##0"/>
    </dxf>
    <dxf>
      <numFmt numFmtId="164" formatCode="[$RM-43E]#,##0"/>
    </dxf>
    <dxf>
      <numFmt numFmtId="164" formatCode="[$RM-43E]#,##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scheme val="minor"/>
      </font>
      <numFmt numFmtId="164" formatCode="[$RM-43E]#,##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  <scheme val="minor"/>
      </font>
      <numFmt numFmtId="164" formatCode="[$RM-43E]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  <numFmt numFmtId="164" formatCode="[$RM-43E]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scheme val="minor"/>
      </font>
      <numFmt numFmtId="164" formatCode="[$RM-43E]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scheme val="minor"/>
      </font>
      <numFmt numFmtId="164" formatCode="[$RM-43E]#,##0"/>
    </dxf>
    <dxf>
      <numFmt numFmtId="164" formatCode="[$RM-43E]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Brand Stock &amp; Sales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0353738356700065E-2"/>
          <c:y val="5.174074074074074E-2"/>
          <c:w val="0.7650068389726446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Total Bought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Analysis!$A$2:$A$11</c:f>
              <c:strCache>
                <c:ptCount val="10"/>
                <c:pt idx="0">
                  <c:v>Panasonic</c:v>
                </c:pt>
                <c:pt idx="1">
                  <c:v>TCL</c:v>
                </c:pt>
                <c:pt idx="2">
                  <c:v>Hisense</c:v>
                </c:pt>
                <c:pt idx="3">
                  <c:v>Samsung</c:v>
                </c:pt>
                <c:pt idx="4">
                  <c:v>Philips</c:v>
                </c:pt>
                <c:pt idx="5">
                  <c:v>Sony</c:v>
                </c:pt>
                <c:pt idx="6">
                  <c:v>LG</c:v>
                </c:pt>
                <c:pt idx="7">
                  <c:v>Sharp</c:v>
                </c:pt>
                <c:pt idx="8">
                  <c:v>Xiaomi</c:v>
                </c:pt>
                <c:pt idx="9">
                  <c:v>Toshiba</c:v>
                </c:pt>
              </c:strCache>
            </c:strRef>
          </c:cat>
          <c:val>
            <c:numRef>
              <c:f>Analysis!$B$2:$B$11</c:f>
              <c:numCache>
                <c:formatCode>General</c:formatCode>
                <c:ptCount val="1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2-41E2-B5CA-6CCCF78FFEFD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Total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Analysis!$A$2:$A$11</c:f>
              <c:strCache>
                <c:ptCount val="10"/>
                <c:pt idx="0">
                  <c:v>Panasonic</c:v>
                </c:pt>
                <c:pt idx="1">
                  <c:v>TCL</c:v>
                </c:pt>
                <c:pt idx="2">
                  <c:v>Hisense</c:v>
                </c:pt>
                <c:pt idx="3">
                  <c:v>Samsung</c:v>
                </c:pt>
                <c:pt idx="4">
                  <c:v>Philips</c:v>
                </c:pt>
                <c:pt idx="5">
                  <c:v>Sony</c:v>
                </c:pt>
                <c:pt idx="6">
                  <c:v>LG</c:v>
                </c:pt>
                <c:pt idx="7">
                  <c:v>Sharp</c:v>
                </c:pt>
                <c:pt idx="8">
                  <c:v>Xiaomi</c:v>
                </c:pt>
                <c:pt idx="9">
                  <c:v>Toshiba</c:v>
                </c:pt>
              </c:strCache>
            </c:strRef>
          </c:cat>
          <c:val>
            <c:numRef>
              <c:f>Analysis!$C$2:$C$11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9</c:v>
                </c:pt>
                <c:pt idx="5">
                  <c:v>16</c:v>
                </c:pt>
                <c:pt idx="6">
                  <c:v>0</c:v>
                </c:pt>
                <c:pt idx="7">
                  <c:v>7</c:v>
                </c:pt>
                <c:pt idx="8">
                  <c:v>12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2-41E2-B5CA-6CCCF78FFEFD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Promo Quantity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Analysis!$A$2:$A$11</c:f>
              <c:strCache>
                <c:ptCount val="10"/>
                <c:pt idx="0">
                  <c:v>Panasonic</c:v>
                </c:pt>
                <c:pt idx="1">
                  <c:v>TCL</c:v>
                </c:pt>
                <c:pt idx="2">
                  <c:v>Hisense</c:v>
                </c:pt>
                <c:pt idx="3">
                  <c:v>Samsung</c:v>
                </c:pt>
                <c:pt idx="4">
                  <c:v>Philips</c:v>
                </c:pt>
                <c:pt idx="5">
                  <c:v>Sony</c:v>
                </c:pt>
                <c:pt idx="6">
                  <c:v>LG</c:v>
                </c:pt>
                <c:pt idx="7">
                  <c:v>Sharp</c:v>
                </c:pt>
                <c:pt idx="8">
                  <c:v>Xiaomi</c:v>
                </c:pt>
                <c:pt idx="9">
                  <c:v>Toshiba</c:v>
                </c:pt>
              </c:strCache>
            </c:strRef>
          </c:cat>
          <c:val>
            <c:numRef>
              <c:f>Analysis!$D$2:$D$11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72-41E2-B5CA-6CCCF78FFEFD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Stock Left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Analysis!$A$2:$A$11</c:f>
              <c:strCache>
                <c:ptCount val="10"/>
                <c:pt idx="0">
                  <c:v>Panasonic</c:v>
                </c:pt>
                <c:pt idx="1">
                  <c:v>TCL</c:v>
                </c:pt>
                <c:pt idx="2">
                  <c:v>Hisense</c:v>
                </c:pt>
                <c:pt idx="3">
                  <c:v>Samsung</c:v>
                </c:pt>
                <c:pt idx="4">
                  <c:v>Philips</c:v>
                </c:pt>
                <c:pt idx="5">
                  <c:v>Sony</c:v>
                </c:pt>
                <c:pt idx="6">
                  <c:v>LG</c:v>
                </c:pt>
                <c:pt idx="7">
                  <c:v>Sharp</c:v>
                </c:pt>
                <c:pt idx="8">
                  <c:v>Xiaomi</c:v>
                </c:pt>
                <c:pt idx="9">
                  <c:v>Toshiba</c:v>
                </c:pt>
              </c:strCache>
            </c:strRef>
          </c:cat>
          <c:val>
            <c:numRef>
              <c:f>Analysis!$E$2:$E$11</c:f>
              <c:numCache>
                <c:formatCode>General</c:formatCode>
                <c:ptCount val="10"/>
                <c:pt idx="0">
                  <c:v>147</c:v>
                </c:pt>
                <c:pt idx="1">
                  <c:v>150</c:v>
                </c:pt>
                <c:pt idx="2">
                  <c:v>150</c:v>
                </c:pt>
                <c:pt idx="3">
                  <c:v>127</c:v>
                </c:pt>
                <c:pt idx="4">
                  <c:v>141</c:v>
                </c:pt>
                <c:pt idx="5">
                  <c:v>134</c:v>
                </c:pt>
                <c:pt idx="6">
                  <c:v>150</c:v>
                </c:pt>
                <c:pt idx="7">
                  <c:v>143</c:v>
                </c:pt>
                <c:pt idx="8">
                  <c:v>138</c:v>
                </c:pt>
                <c:pt idx="9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72-41E2-B5CA-6CCCF78F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&amp; Quantity Overview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0574074074074073E-2"/>
          <c:y val="9.4074074074074074E-2"/>
          <c:w val="0.80479629629629634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Analysis!$G$1</c:f>
              <c:strCache>
                <c:ptCount val="1"/>
                <c:pt idx="0">
                  <c:v>Metric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Analysis!$G$2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19-4214-A0BD-C419F6350990}"/>
            </c:ext>
          </c:extLst>
        </c:ser>
        <c:ser>
          <c:idx val="1"/>
          <c:order val="1"/>
          <c:tx>
            <c:strRef>
              <c:f>Analysis!$H$1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Analysis!$H$2</c:f>
              <c:numCache>
                <c:formatCode>General</c:formatCode>
                <c:ptCount val="1"/>
                <c:pt idx="0">
                  <c:v>416195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19-4214-A0BD-C419F6350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vs Commission vs Final Salary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5.174074074074074E-2"/>
          <c:w val="0.62135185185185182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Analysis!$J$1</c:f>
              <c:strCache>
                <c:ptCount val="1"/>
                <c:pt idx="0">
                  <c:v>SUM Total Sales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Analysis!$J$2</c:f>
              <c:numCache>
                <c:formatCode>General</c:formatCode>
                <c:ptCount val="1"/>
                <c:pt idx="0">
                  <c:v>416195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E-4A8F-8F26-11EB27E8D431}"/>
            </c:ext>
          </c:extLst>
        </c:ser>
        <c:ser>
          <c:idx val="1"/>
          <c:order val="1"/>
          <c:tx>
            <c:strRef>
              <c:f>Analysis!$K$1</c:f>
              <c:strCache>
                <c:ptCount val="1"/>
                <c:pt idx="0">
                  <c:v>SUM Commission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Analysis!$K$2</c:f>
              <c:numCache>
                <c:formatCode>General</c:formatCode>
                <c:ptCount val="1"/>
                <c:pt idx="0">
                  <c:v>208097.5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E-4A8F-8F26-11EB27E8D431}"/>
            </c:ext>
          </c:extLst>
        </c:ser>
        <c:ser>
          <c:idx val="2"/>
          <c:order val="2"/>
          <c:tx>
            <c:strRef>
              <c:f>Analysis!$L$1</c:f>
              <c:strCache>
                <c:ptCount val="1"/>
                <c:pt idx="0">
                  <c:v>SUM Final Salary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Analysis!$L$2</c:f>
              <c:numCache>
                <c:formatCode>General</c:formatCode>
                <c:ptCount val="1"/>
                <c:pt idx="0">
                  <c:v>248097.5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E-4A8F-8F26-11EB27E8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 Salary Performance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7060099175717557E-2"/>
          <c:y val="5.174074074074074E-2"/>
          <c:w val="0.79372789178450587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Analysis!$O$1</c:f>
              <c:strCache>
                <c:ptCount val="1"/>
                <c:pt idx="0">
                  <c:v>Total Sales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Analysis!$N$2:$N$6</c:f>
              <c:strCache>
                <c:ptCount val="5"/>
                <c:pt idx="0">
                  <c:v>Adam </c:v>
                </c:pt>
                <c:pt idx="1">
                  <c:v>Brian </c:v>
                </c:pt>
                <c:pt idx="2">
                  <c:v>Chloe </c:v>
                </c:pt>
                <c:pt idx="3">
                  <c:v>Daniel </c:v>
                </c:pt>
                <c:pt idx="4">
                  <c:v>Ethan </c:v>
                </c:pt>
              </c:strCache>
            </c:strRef>
          </c:cat>
          <c:val>
            <c:numRef>
              <c:f>Analysis!$O$2:$O$6</c:f>
              <c:numCache>
                <c:formatCode>General</c:formatCode>
                <c:ptCount val="5"/>
                <c:pt idx="0">
                  <c:v>171925</c:v>
                </c:pt>
                <c:pt idx="1">
                  <c:v>140400</c:v>
                </c:pt>
                <c:pt idx="2">
                  <c:v>17810</c:v>
                </c:pt>
                <c:pt idx="3">
                  <c:v>32890</c:v>
                </c:pt>
                <c:pt idx="4">
                  <c:v>53170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F-489D-B5CE-31287B3ADADE}"/>
            </c:ext>
          </c:extLst>
        </c:ser>
        <c:ser>
          <c:idx val="1"/>
          <c:order val="1"/>
          <c:tx>
            <c:strRef>
              <c:f>Analysis!$P$1</c:f>
              <c:strCache>
                <c:ptCount val="1"/>
                <c:pt idx="0">
                  <c:v>Commission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Analysis!$N$2:$N$6</c:f>
              <c:strCache>
                <c:ptCount val="5"/>
                <c:pt idx="0">
                  <c:v>Adam </c:v>
                </c:pt>
                <c:pt idx="1">
                  <c:v>Brian </c:v>
                </c:pt>
                <c:pt idx="2">
                  <c:v>Chloe </c:v>
                </c:pt>
                <c:pt idx="3">
                  <c:v>Daniel </c:v>
                </c:pt>
                <c:pt idx="4">
                  <c:v>Ethan </c:v>
                </c:pt>
              </c:strCache>
            </c:strRef>
          </c:cat>
          <c:val>
            <c:numRef>
              <c:f>Analysis!$P$2:$P$6</c:f>
              <c:numCache>
                <c:formatCode>General</c:formatCode>
                <c:ptCount val="5"/>
                <c:pt idx="0">
                  <c:v>85962.5</c:v>
                </c:pt>
                <c:pt idx="1">
                  <c:v>70200</c:v>
                </c:pt>
                <c:pt idx="2">
                  <c:v>8905</c:v>
                </c:pt>
                <c:pt idx="3">
                  <c:v>16445</c:v>
                </c:pt>
                <c:pt idx="4">
                  <c:v>26585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F-489D-B5CE-31287B3ADADE}"/>
            </c:ext>
          </c:extLst>
        </c:ser>
        <c:ser>
          <c:idx val="2"/>
          <c:order val="2"/>
          <c:tx>
            <c:strRef>
              <c:f>Analysis!$Q$1</c:f>
              <c:strCache>
                <c:ptCount val="1"/>
                <c:pt idx="0">
                  <c:v>Final 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Analysis!$N$2:$N$6</c:f>
              <c:strCache>
                <c:ptCount val="5"/>
                <c:pt idx="0">
                  <c:v>Adam </c:v>
                </c:pt>
                <c:pt idx="1">
                  <c:v>Brian </c:v>
                </c:pt>
                <c:pt idx="2">
                  <c:v>Chloe </c:v>
                </c:pt>
                <c:pt idx="3">
                  <c:v>Daniel </c:v>
                </c:pt>
                <c:pt idx="4">
                  <c:v>Ethan </c:v>
                </c:pt>
              </c:strCache>
            </c:strRef>
          </c:cat>
          <c:val>
            <c:numRef>
              <c:f>Analysis!$Q$2:$Q$6</c:f>
              <c:numCache>
                <c:formatCode>General</c:formatCode>
                <c:ptCount val="5"/>
                <c:pt idx="0">
                  <c:v>93962.5</c:v>
                </c:pt>
                <c:pt idx="1">
                  <c:v>78200</c:v>
                </c:pt>
                <c:pt idx="2">
                  <c:v>16905</c:v>
                </c:pt>
                <c:pt idx="3">
                  <c:v>24445</c:v>
                </c:pt>
                <c:pt idx="4">
                  <c:v>34585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F-489D-B5CE-31287B3AD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Revenue &amp; Quantity Sold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Analysis!$H$1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Analysis!$G$2:$G$3</c:f>
              <c:strCache>
                <c:ptCount val="2"/>
                <c:pt idx="0">
                  <c:v>Total Revenue</c:v>
                </c:pt>
                <c:pt idx="1">
                  <c:v>Total Quantity Sold</c:v>
                </c:pt>
              </c:strCache>
            </c:strRef>
          </c:cat>
          <c:val>
            <c:numRef>
              <c:f>Analysis!$H$2:$H$3</c:f>
              <c:numCache>
                <c:formatCode>General</c:formatCode>
                <c:ptCount val="2"/>
                <c:pt idx="0">
                  <c:v>416195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9-4C8B-B0B2-10D8A434D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182095</xdr:colOff>
      <xdr:row>12</xdr:row>
      <xdr:rowOff>42022</xdr:rowOff>
    </xdr:from>
    <xdr:ext cx="6863604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1761004</xdr:colOff>
      <xdr:row>35</xdr:row>
      <xdr:rowOff>2241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420220</xdr:colOff>
      <xdr:row>4</xdr:row>
      <xdr:rowOff>113739</xdr:rowOff>
    </xdr:from>
    <xdr:ext cx="6140149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719979</xdr:colOff>
      <xdr:row>9</xdr:row>
      <xdr:rowOff>62193</xdr:rowOff>
    </xdr:from>
    <xdr:ext cx="8188698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1148603</xdr:colOff>
      <xdr:row>34</xdr:row>
      <xdr:rowOff>49306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101" totalsRowShown="0" headerRowDxfId="23" dataDxfId="22">
  <autoFilter ref="A1:J101" xr:uid="{00000000-0009-0000-0100-000001000000}"/>
  <tableColumns count="10">
    <tableColumn id="1" xr3:uid="{00000000-0010-0000-0000-000001000000}" name="Brand Name"/>
    <tableColumn id="2" xr3:uid="{00000000-0010-0000-0000-000002000000}" name="Model Name"/>
    <tableColumn id="3" xr3:uid="{00000000-0010-0000-0000-000003000000}" name="Product ID"/>
    <tableColumn id="4" xr3:uid="{00000000-0010-0000-0000-000004000000}" name="Desription "/>
    <tableColumn id="5" xr3:uid="{00000000-0010-0000-0000-000005000000}" name="Cost Price " dataDxfId="21"/>
    <tableColumn id="6" xr3:uid="{00000000-0010-0000-0000-000006000000}" name="Selling Price " dataDxfId="20" dataCellStyle="Currency [0]">
      <calculatedColumnFormula>E2 * 1.3</calculatedColumnFormula>
    </tableColumn>
    <tableColumn id="7" xr3:uid="{00000000-0010-0000-0000-000007000000}" name="Quantity Bought" dataDxfId="19"/>
    <tableColumn id="8" xr3:uid="{00000000-0010-0000-0000-000008000000}" name="Quantity Sold" dataDxfId="18">
      <calculatedColumnFormula>Sales!D2</calculatedColumnFormula>
    </tableColumn>
    <tableColumn id="9" xr3:uid="{00000000-0010-0000-0000-000009000000}" name="Promo Quantity" dataDxfId="17"/>
    <tableColumn id="10" xr3:uid="{00000000-0010-0000-0000-00000A000000}" name="Stock Left" dataDxfId="16">
      <calculatedColumnFormula>G2-H2-I2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101" totalsRowShown="0" headerRowDxfId="15">
  <autoFilter ref="A1:E101" xr:uid="{00000000-0009-0000-0100-000002000000}"/>
  <tableColumns count="5">
    <tableColumn id="1" xr3:uid="{00000000-0010-0000-0100-000001000000}" name="Brand"/>
    <tableColumn id="2" xr3:uid="{00000000-0010-0000-0100-000002000000}" name="Model"/>
    <tableColumn id="3" xr3:uid="{00000000-0010-0000-0100-000003000000}" name="Selling Price" dataDxfId="14" dataCellStyle="Currency [0]">
      <calculatedColumnFormula>Inventory!E2*1.3</calculatedColumnFormula>
    </tableColumn>
    <tableColumn id="4" xr3:uid="{00000000-0010-0000-0100-000004000000}" name="Quantity Sold" dataDxfId="13"/>
    <tableColumn id="5" xr3:uid="{00000000-0010-0000-0100-000005000000}" name="Total Revenue" dataDxfId="12" dataCellStyle="Currency [0]">
      <calculatedColumnFormula>C2 * D2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G6" totalsRowShown="0" headerRowDxfId="11">
  <autoFilter ref="A1:G6" xr:uid="{00000000-0009-0000-0100-000003000000}"/>
  <tableColumns count="7">
    <tableColumn id="1" xr3:uid="{00000000-0010-0000-0200-000001000000}" name="Employee's ID " dataDxfId="10"/>
    <tableColumn id="2" xr3:uid="{00000000-0010-0000-0200-000002000000}" name="Name " dataDxfId="9"/>
    <tableColumn id="3" xr3:uid="{00000000-0010-0000-0200-000003000000}" name="Brand Name " dataDxfId="8"/>
    <tableColumn id="4" xr3:uid="{00000000-0010-0000-0200-000004000000}" name="fix monthly salary " dataDxfId="7" dataCellStyle="Currency [0]"/>
    <tableColumn id="5" xr3:uid="{00000000-0010-0000-0200-000005000000}" name="Total Sales Revenue " dataDxfId="6"/>
    <tableColumn id="6" xr3:uid="{00000000-0010-0000-0200-000006000000}" name="Commission " dataDxfId="5">
      <calculatedColumnFormula>IF(E2&gt;15000,E2*0.5,E2*0.05)</calculatedColumnFormula>
    </tableColumn>
    <tableColumn id="7" xr3:uid="{00000000-0010-0000-0200-000007000000}" name="Total salary for Jan " dataDxfId="4">
      <calculatedColumnFormula>(D2+F2)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2982B1-C596-4735-BDCE-C784EC0B7BAC}" name="Table4" displayName="Table4" ref="J1:M2" totalsRowShown="0" headerRowDxfId="3">
  <autoFilter ref="J1:M2" xr:uid="{1A2982B1-C596-4735-BDCE-C784EC0B7BAC}"/>
  <tableColumns count="4">
    <tableColumn id="1" xr3:uid="{D4360C11-CC37-4C39-9250-ACA51513326E}" name="SUM Total Sales Revenue">
      <calculatedColumnFormula>SUM(Salary!E:E)</calculatedColumnFormula>
    </tableColumn>
    <tableColumn id="2" xr3:uid="{717BDBAF-57AF-41DD-A67D-2E5458CA42E5}" name="SUM Commission">
      <calculatedColumnFormula>SUM(Salary!F:F)</calculatedColumnFormula>
    </tableColumn>
    <tableColumn id="3" xr3:uid="{1661DC28-C447-4D05-AC0F-2F6CAA1D9D14}" name="SUM Final Salary">
      <calculatedColumnFormula>SUM(Salary!G:G)</calculatedColumnFormula>
    </tableColumn>
    <tableColumn id="4" xr3:uid="{77303C2B-7C90-4622-9B71-5982ECE287E0}" name="Column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9CAC54-26A2-4A59-9231-5518A527320A}" name="Table6" displayName="Table6" ref="A1:E11" totalsRowShown="0" headerRowDxfId="2">
  <autoFilter ref="A1:E11" xr:uid="{6A9CAC54-26A2-4A59-9231-5518A527320A}"/>
  <tableColumns count="5">
    <tableColumn id="1" xr3:uid="{35CDBF56-AF14-46D4-9E0E-B0BCA8722876}" name="Brand"/>
    <tableColumn id="2" xr3:uid="{BADDC695-1729-4E8A-B48B-7475B300FB2B}" name="Total Bought">
      <calculatedColumnFormula>SUMIF(Inventory!A:A,A2,Inventory!G:G)</calculatedColumnFormula>
    </tableColumn>
    <tableColumn id="3" xr3:uid="{3FED580E-D1B5-4EFB-B159-FACBB5474AB4}" name="Total Sold">
      <calculatedColumnFormula>SUMIF(Inventory!A:A,A2,Inventory!H:H)</calculatedColumnFormula>
    </tableColumn>
    <tableColumn id="4" xr3:uid="{D022ACE3-D1E2-438F-B94C-F37A5655C657}" name="Promo Quantity">
      <calculatedColumnFormula>SUMIF(Inventory!A:A,A2,Inventory!I:I)</calculatedColumnFormula>
    </tableColumn>
    <tableColumn id="5" xr3:uid="{BFC9B18F-83F7-424E-872D-DB3B354D8A69}" name="Stock Left">
      <calculatedColumnFormula>SUMIF(Inventory!A:A,A2,Inventory!J:J)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8C10B0-1AEC-4D10-AF96-01E61A4229D5}" name="Table7" displayName="Table7" ref="G1:H3" totalsRowShown="0" headerRowDxfId="1">
  <autoFilter ref="G1:H3" xr:uid="{638C10B0-1AEC-4D10-AF96-01E61A4229D5}"/>
  <tableColumns count="2">
    <tableColumn id="1" xr3:uid="{28971867-BD42-4C13-B052-052F20D52E2F}" name="Metric"/>
    <tableColumn id="2" xr3:uid="{8520326F-9E36-4DEA-8D26-D61A4635660C}" name="Value">
      <calculatedColumnFormula>SUM(Sales!D:D)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446318-24E4-40E8-A986-679F6CB4F722}" name="Table8" displayName="Table8" ref="N1:Q6" totalsRowShown="0" headerRowDxfId="0">
  <autoFilter ref="N1:Q6" xr:uid="{0E446318-24E4-40E8-A986-679F6CB4F722}"/>
  <tableColumns count="4">
    <tableColumn id="1" xr3:uid="{AC43F440-079E-4AA9-9C8F-0773D6E1903A}" name="Employee"/>
    <tableColumn id="2" xr3:uid="{8EB2F19D-0BA2-41D8-BDBD-9D622EAA1A38}" name="Total Sales Revenue"/>
    <tableColumn id="3" xr3:uid="{78A393A3-E00A-4FDB-939C-2856EE39286A}" name="Commission"/>
    <tableColumn id="4" xr3:uid="{48EE4CCF-3ED0-4C3E-897B-6972368B125A}" name="Final Salar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602"/>
  <sheetViews>
    <sheetView topLeftCell="A64" zoomScale="125" workbookViewId="0">
      <selection activeCell="J3" sqref="J3"/>
    </sheetView>
  </sheetViews>
  <sheetFormatPr defaultColWidth="12.42578125" defaultRowHeight="15.75" customHeight="1" x14ac:dyDescent="0.2"/>
  <cols>
    <col min="1" max="2" width="13" customWidth="1"/>
    <col min="4" max="4" width="45.42578125" customWidth="1"/>
    <col min="5" max="5" width="13.42578125" style="5" customWidth="1"/>
    <col min="6" max="6" width="15.28515625" customWidth="1"/>
    <col min="7" max="7" width="16.28515625" customWidth="1"/>
    <col min="8" max="8" width="14.140625" customWidth="1"/>
    <col min="9" max="9" width="15.85546875" customWidth="1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2"/>
      <c r="O1" s="2"/>
      <c r="P1" s="2"/>
      <c r="Q1" s="2"/>
    </row>
    <row r="2" spans="1:17" ht="15.75" customHeight="1" x14ac:dyDescent="0.2">
      <c r="A2" t="s">
        <v>10</v>
      </c>
      <c r="B2" t="s">
        <v>11</v>
      </c>
      <c r="C2" t="s">
        <v>12</v>
      </c>
      <c r="D2" t="s">
        <v>13</v>
      </c>
      <c r="E2" s="4">
        <v>3750</v>
      </c>
      <c r="F2" s="7">
        <f t="shared" ref="F2:F33" si="0">E2 * 1.3</f>
        <v>4875</v>
      </c>
      <c r="G2" s="1">
        <v>15</v>
      </c>
      <c r="H2" s="1">
        <f>Sales!D2</f>
        <v>2</v>
      </c>
      <c r="I2" s="1">
        <v>0</v>
      </c>
      <c r="J2" s="1">
        <f t="shared" ref="J2:J33" si="1">G2-H2-I2</f>
        <v>13</v>
      </c>
      <c r="N2" s="2"/>
      <c r="O2" s="2"/>
      <c r="P2" s="2"/>
      <c r="Q2" s="2"/>
    </row>
    <row r="3" spans="1:17" ht="15.75" customHeight="1" x14ac:dyDescent="0.2">
      <c r="A3" t="s">
        <v>10</v>
      </c>
      <c r="B3" t="s">
        <v>14</v>
      </c>
      <c r="C3" t="str">
        <f t="shared" ref="C3:C11" si="2">"TV-"&amp;LEFT(A3,3)&amp;"-"&amp;TEXT(ROW()-1,"000")</f>
        <v>TV-Sam-002</v>
      </c>
      <c r="D3" t="s">
        <v>15</v>
      </c>
      <c r="E3" s="5">
        <v>4750</v>
      </c>
      <c r="F3" s="7">
        <f t="shared" si="0"/>
        <v>6175</v>
      </c>
      <c r="G3" s="1">
        <v>15</v>
      </c>
      <c r="H3" s="1">
        <f>Sales!D3</f>
        <v>4</v>
      </c>
      <c r="I3" s="1">
        <v>0</v>
      </c>
      <c r="J3" s="1">
        <f t="shared" si="1"/>
        <v>11</v>
      </c>
      <c r="N3" s="2"/>
      <c r="O3" s="2"/>
      <c r="P3" s="2"/>
      <c r="Q3" s="2"/>
    </row>
    <row r="4" spans="1:17" ht="15.75" customHeight="1" x14ac:dyDescent="0.2">
      <c r="A4" t="s">
        <v>10</v>
      </c>
      <c r="B4" t="s">
        <v>16</v>
      </c>
      <c r="C4" t="str">
        <f t="shared" si="2"/>
        <v>TV-Sam-003</v>
      </c>
      <c r="D4" t="s">
        <v>17</v>
      </c>
      <c r="E4" s="5">
        <v>5750</v>
      </c>
      <c r="F4" s="7">
        <f t="shared" si="0"/>
        <v>7475</v>
      </c>
      <c r="G4" s="1">
        <v>15</v>
      </c>
      <c r="H4" s="1">
        <f>Sales!D4</f>
        <v>2</v>
      </c>
      <c r="I4" s="1">
        <v>0</v>
      </c>
      <c r="J4" s="1">
        <f t="shared" si="1"/>
        <v>13</v>
      </c>
      <c r="N4" s="2"/>
      <c r="O4" s="2"/>
      <c r="P4" s="2"/>
      <c r="Q4" s="2"/>
    </row>
    <row r="5" spans="1:17" ht="15.75" customHeight="1" x14ac:dyDescent="0.2">
      <c r="A5" t="s">
        <v>10</v>
      </c>
      <c r="B5" t="s">
        <v>18</v>
      </c>
      <c r="C5" t="str">
        <f t="shared" si="2"/>
        <v>TV-Sam-004</v>
      </c>
      <c r="D5" t="s">
        <v>19</v>
      </c>
      <c r="E5" s="5">
        <v>7250</v>
      </c>
      <c r="F5" s="7">
        <f t="shared" si="0"/>
        <v>9425</v>
      </c>
      <c r="G5" s="1">
        <v>15</v>
      </c>
      <c r="H5" s="1">
        <f>Sales!D5</f>
        <v>0</v>
      </c>
      <c r="I5" s="1">
        <v>0</v>
      </c>
      <c r="J5" s="1">
        <f t="shared" si="1"/>
        <v>15</v>
      </c>
      <c r="N5" s="2"/>
      <c r="O5" s="2"/>
      <c r="P5" s="2"/>
      <c r="Q5" s="2"/>
    </row>
    <row r="6" spans="1:17" ht="15.75" customHeight="1" x14ac:dyDescent="0.2">
      <c r="A6" t="s">
        <v>10</v>
      </c>
      <c r="B6" t="s">
        <v>20</v>
      </c>
      <c r="C6" t="str">
        <f t="shared" si="2"/>
        <v>TV-Sam-005</v>
      </c>
      <c r="D6" t="s">
        <v>21</v>
      </c>
      <c r="E6" s="5">
        <v>2250</v>
      </c>
      <c r="F6" s="7">
        <f t="shared" si="0"/>
        <v>2925</v>
      </c>
      <c r="G6" s="1">
        <v>15</v>
      </c>
      <c r="H6" s="1">
        <f>Sales!D6</f>
        <v>0</v>
      </c>
      <c r="I6" s="1">
        <v>0</v>
      </c>
      <c r="J6" s="1">
        <f t="shared" si="1"/>
        <v>15</v>
      </c>
      <c r="N6" s="2"/>
      <c r="O6" s="2"/>
      <c r="P6" s="2"/>
      <c r="Q6" s="2"/>
    </row>
    <row r="7" spans="1:17" ht="15.75" customHeight="1" x14ac:dyDescent="0.2">
      <c r="A7" t="s">
        <v>10</v>
      </c>
      <c r="B7" t="s">
        <v>22</v>
      </c>
      <c r="C7" t="str">
        <f t="shared" si="2"/>
        <v>TV-Sam-006</v>
      </c>
      <c r="D7" t="s">
        <v>23</v>
      </c>
      <c r="E7" s="5">
        <v>2750</v>
      </c>
      <c r="F7" s="7">
        <f t="shared" si="0"/>
        <v>3575</v>
      </c>
      <c r="G7" s="1">
        <v>15</v>
      </c>
      <c r="H7" s="1">
        <f>Sales!D7</f>
        <v>2</v>
      </c>
      <c r="I7" s="1">
        <v>0</v>
      </c>
      <c r="J7" s="1">
        <f t="shared" si="1"/>
        <v>13</v>
      </c>
    </row>
    <row r="8" spans="1:17" ht="15.75" customHeight="1" x14ac:dyDescent="0.2">
      <c r="A8" t="s">
        <v>10</v>
      </c>
      <c r="B8" t="s">
        <v>24</v>
      </c>
      <c r="C8" t="str">
        <f t="shared" si="2"/>
        <v>TV-Sam-007</v>
      </c>
      <c r="D8" t="s">
        <v>25</v>
      </c>
      <c r="E8" s="5">
        <v>2250</v>
      </c>
      <c r="F8" s="7">
        <f t="shared" si="0"/>
        <v>2925</v>
      </c>
      <c r="G8" s="1">
        <v>15</v>
      </c>
      <c r="H8" s="1">
        <f>Sales!D8</f>
        <v>0</v>
      </c>
      <c r="I8" s="1">
        <v>0</v>
      </c>
      <c r="J8" s="1">
        <f t="shared" si="1"/>
        <v>15</v>
      </c>
    </row>
    <row r="9" spans="1:17" ht="15.75" customHeight="1" x14ac:dyDescent="0.2">
      <c r="A9" t="s">
        <v>10</v>
      </c>
      <c r="B9" t="s">
        <v>26</v>
      </c>
      <c r="C9" t="str">
        <f t="shared" si="2"/>
        <v>TV-Sam-008</v>
      </c>
      <c r="D9" t="s">
        <v>27</v>
      </c>
      <c r="E9" s="5">
        <v>2750</v>
      </c>
      <c r="F9" s="7">
        <f t="shared" si="0"/>
        <v>3575</v>
      </c>
      <c r="G9" s="1">
        <v>15</v>
      </c>
      <c r="H9" s="1">
        <f>Sales!D9</f>
        <v>3</v>
      </c>
      <c r="I9" s="1">
        <v>0</v>
      </c>
      <c r="J9" s="1">
        <f t="shared" si="1"/>
        <v>12</v>
      </c>
    </row>
    <row r="10" spans="1:17" ht="15.75" customHeight="1" x14ac:dyDescent="0.2">
      <c r="A10" t="s">
        <v>10</v>
      </c>
      <c r="B10" t="s">
        <v>28</v>
      </c>
      <c r="C10" t="str">
        <f t="shared" si="2"/>
        <v>TV-Sam-009</v>
      </c>
      <c r="D10" t="s">
        <v>27</v>
      </c>
      <c r="E10" s="5">
        <v>8000</v>
      </c>
      <c r="F10" s="7">
        <f t="shared" si="0"/>
        <v>10400</v>
      </c>
      <c r="G10" s="1">
        <v>15</v>
      </c>
      <c r="H10" s="1">
        <f>Sales!D10</f>
        <v>9</v>
      </c>
      <c r="I10" s="1">
        <v>0</v>
      </c>
      <c r="J10" s="1">
        <f t="shared" si="1"/>
        <v>6</v>
      </c>
    </row>
    <row r="11" spans="1:17" ht="15.75" customHeight="1" x14ac:dyDescent="0.2">
      <c r="A11" t="s">
        <v>10</v>
      </c>
      <c r="B11" t="s">
        <v>11</v>
      </c>
      <c r="C11" t="str">
        <f t="shared" si="2"/>
        <v>TV-Sam-010</v>
      </c>
      <c r="D11" t="s">
        <v>29</v>
      </c>
      <c r="E11" s="5">
        <v>8500</v>
      </c>
      <c r="F11" s="7">
        <f t="shared" si="0"/>
        <v>11050</v>
      </c>
      <c r="G11" s="1">
        <v>15</v>
      </c>
      <c r="H11" s="1">
        <f>Sales!D11</f>
        <v>1</v>
      </c>
      <c r="I11" s="1">
        <v>0</v>
      </c>
      <c r="J11" s="1">
        <f t="shared" si="1"/>
        <v>14</v>
      </c>
    </row>
    <row r="12" spans="1:17" ht="15.75" customHeight="1" x14ac:dyDescent="0.2">
      <c r="A12" t="s">
        <v>30</v>
      </c>
      <c r="B12" t="s">
        <v>31</v>
      </c>
      <c r="C12" t="s">
        <v>32</v>
      </c>
      <c r="D12" t="s">
        <v>33</v>
      </c>
      <c r="E12" s="5">
        <v>2000</v>
      </c>
      <c r="F12" s="7">
        <f t="shared" si="0"/>
        <v>2600</v>
      </c>
      <c r="G12" s="1">
        <v>15</v>
      </c>
      <c r="H12" s="1">
        <f>Sales!D12</f>
        <v>0</v>
      </c>
      <c r="I12" s="1">
        <v>0</v>
      </c>
      <c r="J12" s="1">
        <f t="shared" si="1"/>
        <v>15</v>
      </c>
    </row>
    <row r="13" spans="1:17" ht="15.75" customHeight="1" x14ac:dyDescent="0.2">
      <c r="A13" t="s">
        <v>30</v>
      </c>
      <c r="B13" t="s">
        <v>34</v>
      </c>
      <c r="C13" t="s">
        <v>35</v>
      </c>
      <c r="D13" t="s">
        <v>36</v>
      </c>
      <c r="E13" s="5">
        <v>2500</v>
      </c>
      <c r="F13" s="7">
        <f t="shared" si="0"/>
        <v>3250</v>
      </c>
      <c r="G13" s="1">
        <v>15</v>
      </c>
      <c r="H13" s="1">
        <f>Sales!D13</f>
        <v>0</v>
      </c>
      <c r="I13" s="1">
        <v>0</v>
      </c>
      <c r="J13" s="1">
        <f t="shared" si="1"/>
        <v>15</v>
      </c>
    </row>
    <row r="14" spans="1:17" ht="15.75" customHeight="1" x14ac:dyDescent="0.2">
      <c r="A14" t="s">
        <v>30</v>
      </c>
      <c r="B14" t="s">
        <v>37</v>
      </c>
      <c r="C14" t="s">
        <v>38</v>
      </c>
      <c r="D14" t="s">
        <v>39</v>
      </c>
      <c r="E14" s="5">
        <v>3000</v>
      </c>
      <c r="F14" s="7">
        <f t="shared" si="0"/>
        <v>3900</v>
      </c>
      <c r="G14" s="1">
        <v>15</v>
      </c>
      <c r="H14" s="1">
        <f>Sales!D14</f>
        <v>0</v>
      </c>
      <c r="I14" s="1">
        <v>0</v>
      </c>
      <c r="J14" s="1">
        <f t="shared" si="1"/>
        <v>15</v>
      </c>
    </row>
    <row r="15" spans="1:17" ht="15.75" customHeight="1" x14ac:dyDescent="0.2">
      <c r="A15" t="s">
        <v>30</v>
      </c>
      <c r="B15" t="s">
        <v>40</v>
      </c>
      <c r="C15" t="s">
        <v>41</v>
      </c>
      <c r="D15" t="s">
        <v>42</v>
      </c>
      <c r="E15" s="5">
        <v>4000</v>
      </c>
      <c r="F15" s="7">
        <f t="shared" si="0"/>
        <v>5200</v>
      </c>
      <c r="G15" s="1">
        <v>15</v>
      </c>
      <c r="H15" s="1">
        <f>Sales!D15</f>
        <v>0</v>
      </c>
      <c r="I15" s="1">
        <v>0</v>
      </c>
      <c r="J15" s="1">
        <f t="shared" si="1"/>
        <v>15</v>
      </c>
    </row>
    <row r="16" spans="1:17" ht="15.75" customHeight="1" x14ac:dyDescent="0.2">
      <c r="A16" t="s">
        <v>30</v>
      </c>
      <c r="B16" t="s">
        <v>43</v>
      </c>
      <c r="C16" t="s">
        <v>44</v>
      </c>
      <c r="D16" t="s">
        <v>45</v>
      </c>
      <c r="E16" s="5">
        <v>4500</v>
      </c>
      <c r="F16" s="7">
        <f t="shared" si="0"/>
        <v>5850</v>
      </c>
      <c r="G16" s="1">
        <v>15</v>
      </c>
      <c r="H16" s="1">
        <f>Sales!D16</f>
        <v>0</v>
      </c>
      <c r="I16" s="1">
        <v>0</v>
      </c>
      <c r="J16" s="1">
        <f t="shared" si="1"/>
        <v>15</v>
      </c>
    </row>
    <row r="17" spans="1:10" ht="15.75" customHeight="1" x14ac:dyDescent="0.2">
      <c r="A17" t="s">
        <v>30</v>
      </c>
      <c r="B17" t="s">
        <v>46</v>
      </c>
      <c r="C17" t="s">
        <v>47</v>
      </c>
      <c r="D17" t="s">
        <v>48</v>
      </c>
      <c r="E17" s="5">
        <v>6000</v>
      </c>
      <c r="F17" s="7">
        <f t="shared" si="0"/>
        <v>7800</v>
      </c>
      <c r="G17" s="1">
        <v>15</v>
      </c>
      <c r="H17" s="1">
        <f>Sales!D17</f>
        <v>0</v>
      </c>
      <c r="I17" s="1">
        <v>0</v>
      </c>
      <c r="J17" s="1">
        <f t="shared" si="1"/>
        <v>15</v>
      </c>
    </row>
    <row r="18" spans="1:10" ht="15.75" customHeight="1" x14ac:dyDescent="0.2">
      <c r="A18" t="s">
        <v>30</v>
      </c>
      <c r="B18" t="s">
        <v>49</v>
      </c>
      <c r="C18" t="s">
        <v>50</v>
      </c>
      <c r="D18" t="s">
        <v>51</v>
      </c>
      <c r="E18" s="5">
        <v>7000</v>
      </c>
      <c r="F18" s="7">
        <f t="shared" si="0"/>
        <v>9100</v>
      </c>
      <c r="G18" s="1">
        <v>15</v>
      </c>
      <c r="H18" s="1">
        <f>Sales!D18</f>
        <v>0</v>
      </c>
      <c r="I18" s="1">
        <v>0</v>
      </c>
      <c r="J18" s="1">
        <f t="shared" si="1"/>
        <v>15</v>
      </c>
    </row>
    <row r="19" spans="1:10" ht="15.75" customHeight="1" x14ac:dyDescent="0.2">
      <c r="A19" t="s">
        <v>30</v>
      </c>
      <c r="B19" t="s">
        <v>52</v>
      </c>
      <c r="C19" t="s">
        <v>53</v>
      </c>
      <c r="D19" t="s">
        <v>54</v>
      </c>
      <c r="E19" s="5">
        <v>8500</v>
      </c>
      <c r="F19" s="7">
        <f t="shared" si="0"/>
        <v>11050</v>
      </c>
      <c r="G19" s="1">
        <v>15</v>
      </c>
      <c r="H19" s="1">
        <f>Sales!D19</f>
        <v>0</v>
      </c>
      <c r="I19" s="1">
        <v>0</v>
      </c>
      <c r="J19" s="1">
        <f t="shared" si="1"/>
        <v>15</v>
      </c>
    </row>
    <row r="20" spans="1:10" ht="15.75" customHeight="1" x14ac:dyDescent="0.2">
      <c r="A20" t="s">
        <v>30</v>
      </c>
      <c r="B20" t="s">
        <v>55</v>
      </c>
      <c r="C20" t="s">
        <v>56</v>
      </c>
      <c r="D20" t="s">
        <v>57</v>
      </c>
      <c r="E20" s="5">
        <v>6500</v>
      </c>
      <c r="F20" s="7">
        <f t="shared" si="0"/>
        <v>8450</v>
      </c>
      <c r="G20" s="1">
        <v>15</v>
      </c>
      <c r="H20" s="1">
        <f>Sales!D20</f>
        <v>0</v>
      </c>
      <c r="I20" s="1">
        <v>0</v>
      </c>
      <c r="J20" s="1">
        <f t="shared" si="1"/>
        <v>15</v>
      </c>
    </row>
    <row r="21" spans="1:10" ht="15.75" customHeight="1" x14ac:dyDescent="0.2">
      <c r="A21" t="s">
        <v>30</v>
      </c>
      <c r="B21" t="s">
        <v>58</v>
      </c>
      <c r="C21" t="s">
        <v>59</v>
      </c>
      <c r="D21" t="s">
        <v>60</v>
      </c>
      <c r="E21" s="5">
        <v>7500</v>
      </c>
      <c r="F21" s="7">
        <f t="shared" si="0"/>
        <v>9750</v>
      </c>
      <c r="G21" s="1">
        <v>15</v>
      </c>
      <c r="H21" s="1">
        <f>Sales!D21</f>
        <v>0</v>
      </c>
      <c r="I21" s="1">
        <v>0</v>
      </c>
      <c r="J21" s="1">
        <f t="shared" si="1"/>
        <v>15</v>
      </c>
    </row>
    <row r="22" spans="1:10" ht="15.75" customHeight="1" x14ac:dyDescent="0.2">
      <c r="A22" t="s">
        <v>61</v>
      </c>
      <c r="B22" t="s">
        <v>62</v>
      </c>
      <c r="C22" t="s">
        <v>63</v>
      </c>
      <c r="D22" t="s">
        <v>64</v>
      </c>
      <c r="E22" s="5">
        <v>3000</v>
      </c>
      <c r="F22" s="7">
        <f t="shared" si="0"/>
        <v>3900</v>
      </c>
      <c r="G22" s="1">
        <v>15</v>
      </c>
      <c r="H22" s="1">
        <f>Sales!D22</f>
        <v>0</v>
      </c>
      <c r="I22" s="1">
        <v>0</v>
      </c>
      <c r="J22" s="1">
        <f t="shared" si="1"/>
        <v>15</v>
      </c>
    </row>
    <row r="23" spans="1:10" ht="15.75" customHeight="1" x14ac:dyDescent="0.2">
      <c r="A23" t="s">
        <v>61</v>
      </c>
      <c r="B23" t="s">
        <v>65</v>
      </c>
      <c r="C23" t="s">
        <v>66</v>
      </c>
      <c r="D23" t="s">
        <v>67</v>
      </c>
      <c r="E23" s="5">
        <v>3500</v>
      </c>
      <c r="F23" s="7">
        <f t="shared" si="0"/>
        <v>4550</v>
      </c>
      <c r="G23" s="1">
        <v>15</v>
      </c>
      <c r="H23" s="1">
        <f>Sales!D23</f>
        <v>1</v>
      </c>
      <c r="I23" s="1">
        <v>0</v>
      </c>
      <c r="J23" s="1">
        <f t="shared" si="1"/>
        <v>14</v>
      </c>
    </row>
    <row r="24" spans="1:10" ht="15.75" customHeight="1" x14ac:dyDescent="0.2">
      <c r="A24" t="s">
        <v>61</v>
      </c>
      <c r="B24" t="s">
        <v>68</v>
      </c>
      <c r="C24" t="s">
        <v>69</v>
      </c>
      <c r="D24" t="s">
        <v>70</v>
      </c>
      <c r="E24" s="5">
        <v>4250</v>
      </c>
      <c r="F24" s="7">
        <f t="shared" si="0"/>
        <v>5525</v>
      </c>
      <c r="G24" s="1">
        <v>15</v>
      </c>
      <c r="H24" s="1">
        <f>Sales!D24</f>
        <v>2</v>
      </c>
      <c r="I24" s="1">
        <v>0</v>
      </c>
      <c r="J24" s="1">
        <f t="shared" si="1"/>
        <v>13</v>
      </c>
    </row>
    <row r="25" spans="1:10" ht="15.75" customHeight="1" x14ac:dyDescent="0.2">
      <c r="A25" t="s">
        <v>61</v>
      </c>
      <c r="B25" t="s">
        <v>71</v>
      </c>
      <c r="C25" t="s">
        <v>72</v>
      </c>
      <c r="D25" t="s">
        <v>73</v>
      </c>
      <c r="E25" s="5">
        <v>5250</v>
      </c>
      <c r="F25" s="7">
        <f t="shared" si="0"/>
        <v>6825</v>
      </c>
      <c r="G25" s="1">
        <v>15</v>
      </c>
      <c r="H25" s="1">
        <f>Sales!D25</f>
        <v>4</v>
      </c>
      <c r="I25" s="1">
        <v>0</v>
      </c>
      <c r="J25" s="1">
        <f t="shared" si="1"/>
        <v>11</v>
      </c>
    </row>
    <row r="26" spans="1:10" ht="15.75" customHeight="1" x14ac:dyDescent="0.2">
      <c r="A26" t="s">
        <v>61</v>
      </c>
      <c r="B26" t="s">
        <v>74</v>
      </c>
      <c r="C26" t="s">
        <v>75</v>
      </c>
      <c r="D26" t="s">
        <v>76</v>
      </c>
      <c r="E26" s="5">
        <v>7000</v>
      </c>
      <c r="F26" s="7">
        <f t="shared" si="0"/>
        <v>9100</v>
      </c>
      <c r="G26" s="1">
        <v>15</v>
      </c>
      <c r="H26" s="1">
        <f>Sales!D26</f>
        <v>5</v>
      </c>
      <c r="I26" s="1">
        <v>0</v>
      </c>
      <c r="J26" s="1">
        <f t="shared" si="1"/>
        <v>10</v>
      </c>
    </row>
    <row r="27" spans="1:10" ht="15.75" customHeight="1" x14ac:dyDescent="0.2">
      <c r="A27" t="s">
        <v>61</v>
      </c>
      <c r="B27" t="s">
        <v>77</v>
      </c>
      <c r="C27" t="s">
        <v>78</v>
      </c>
      <c r="D27" t="s">
        <v>79</v>
      </c>
      <c r="E27" s="5">
        <v>10000</v>
      </c>
      <c r="F27" s="7">
        <f t="shared" si="0"/>
        <v>13000</v>
      </c>
      <c r="G27" s="1">
        <v>15</v>
      </c>
      <c r="H27" s="1">
        <f>Sales!D27</f>
        <v>4</v>
      </c>
      <c r="I27" s="1">
        <v>0</v>
      </c>
      <c r="J27" s="1">
        <f t="shared" si="1"/>
        <v>11</v>
      </c>
    </row>
    <row r="28" spans="1:10" ht="15.75" customHeight="1" x14ac:dyDescent="0.2">
      <c r="A28" t="s">
        <v>61</v>
      </c>
      <c r="B28" t="s">
        <v>80</v>
      </c>
      <c r="C28" t="s">
        <v>81</v>
      </c>
      <c r="D28" t="s">
        <v>82</v>
      </c>
      <c r="E28" s="5">
        <v>8500</v>
      </c>
      <c r="F28" s="7">
        <f t="shared" si="0"/>
        <v>11050</v>
      </c>
      <c r="G28" s="1">
        <v>15</v>
      </c>
      <c r="H28" s="1">
        <f>Sales!D28</f>
        <v>0</v>
      </c>
      <c r="I28" s="1">
        <v>0</v>
      </c>
      <c r="J28" s="1">
        <f t="shared" si="1"/>
        <v>15</v>
      </c>
    </row>
    <row r="29" spans="1:10" ht="15.75" customHeight="1" x14ac:dyDescent="0.2">
      <c r="A29" t="s">
        <v>61</v>
      </c>
      <c r="B29" t="s">
        <v>83</v>
      </c>
      <c r="C29" t="s">
        <v>84</v>
      </c>
      <c r="D29" t="s">
        <v>85</v>
      </c>
      <c r="E29" s="5">
        <v>17500</v>
      </c>
      <c r="F29" s="7">
        <f t="shared" si="0"/>
        <v>22750</v>
      </c>
      <c r="G29" s="1">
        <v>15</v>
      </c>
      <c r="H29" s="1">
        <f>Sales!D29</f>
        <v>0</v>
      </c>
      <c r="I29" s="1">
        <v>0</v>
      </c>
      <c r="J29" s="1">
        <f t="shared" si="1"/>
        <v>15</v>
      </c>
    </row>
    <row r="30" spans="1:10" ht="15.75" customHeight="1" x14ac:dyDescent="0.2">
      <c r="A30" t="s">
        <v>61</v>
      </c>
      <c r="B30" t="s">
        <v>86</v>
      </c>
      <c r="C30" t="s">
        <v>87</v>
      </c>
      <c r="D30" t="s">
        <v>88</v>
      </c>
      <c r="E30" s="5">
        <v>2200</v>
      </c>
      <c r="F30" s="7">
        <f t="shared" si="0"/>
        <v>2860</v>
      </c>
      <c r="G30" s="1">
        <v>15</v>
      </c>
      <c r="H30" s="1">
        <f>Sales!D30</f>
        <v>0</v>
      </c>
      <c r="I30" s="1">
        <v>0</v>
      </c>
      <c r="J30" s="1">
        <f t="shared" si="1"/>
        <v>15</v>
      </c>
    </row>
    <row r="31" spans="1:10" ht="15.75" customHeight="1" x14ac:dyDescent="0.2">
      <c r="A31" t="s">
        <v>61</v>
      </c>
      <c r="B31" t="s">
        <v>89</v>
      </c>
      <c r="C31" t="s">
        <v>90</v>
      </c>
      <c r="D31" t="s">
        <v>91</v>
      </c>
      <c r="E31" s="5">
        <v>2400</v>
      </c>
      <c r="F31" s="7">
        <f t="shared" si="0"/>
        <v>3120</v>
      </c>
      <c r="G31" s="1">
        <v>15</v>
      </c>
      <c r="H31" s="1">
        <f>Sales!D31</f>
        <v>0</v>
      </c>
      <c r="I31" s="1">
        <v>0</v>
      </c>
      <c r="J31" s="1">
        <f t="shared" si="1"/>
        <v>15</v>
      </c>
    </row>
    <row r="32" spans="1:10" ht="15.75" customHeight="1" x14ac:dyDescent="0.2">
      <c r="A32" t="s">
        <v>92</v>
      </c>
      <c r="B32" t="s">
        <v>93</v>
      </c>
      <c r="C32" t="s">
        <v>94</v>
      </c>
      <c r="D32" t="s">
        <v>95</v>
      </c>
      <c r="E32" s="5">
        <v>1500</v>
      </c>
      <c r="F32" s="7">
        <f t="shared" si="0"/>
        <v>1950</v>
      </c>
      <c r="G32" s="1">
        <v>15</v>
      </c>
      <c r="H32" s="1">
        <f>Sales!D32</f>
        <v>0</v>
      </c>
      <c r="I32" s="1">
        <v>0</v>
      </c>
      <c r="J32" s="1">
        <f t="shared" si="1"/>
        <v>15</v>
      </c>
    </row>
    <row r="33" spans="1:10" ht="15.75" customHeight="1" x14ac:dyDescent="0.2">
      <c r="A33" t="s">
        <v>92</v>
      </c>
      <c r="B33" t="s">
        <v>96</v>
      </c>
      <c r="C33" t="s">
        <v>97</v>
      </c>
      <c r="D33" t="s">
        <v>98</v>
      </c>
      <c r="E33" s="5">
        <v>2000</v>
      </c>
      <c r="F33" s="7">
        <f t="shared" si="0"/>
        <v>2600</v>
      </c>
      <c r="G33" s="1">
        <v>15</v>
      </c>
      <c r="H33" s="1">
        <f>Sales!D33</f>
        <v>0</v>
      </c>
      <c r="I33" s="1">
        <v>0</v>
      </c>
      <c r="J33" s="1">
        <f t="shared" si="1"/>
        <v>15</v>
      </c>
    </row>
    <row r="34" spans="1:10" ht="15.75" customHeight="1" x14ac:dyDescent="0.2">
      <c r="A34" t="s">
        <v>92</v>
      </c>
      <c r="B34" t="s">
        <v>99</v>
      </c>
      <c r="C34" t="s">
        <v>100</v>
      </c>
      <c r="D34" t="s">
        <v>101</v>
      </c>
      <c r="E34" s="5">
        <v>2300</v>
      </c>
      <c r="F34" s="7">
        <f t="shared" ref="F34:F65" si="3">E34 * 1.3</f>
        <v>2990</v>
      </c>
      <c r="G34" s="1">
        <v>15</v>
      </c>
      <c r="H34" s="1">
        <f>Sales!D34</f>
        <v>0</v>
      </c>
      <c r="I34" s="1">
        <v>0</v>
      </c>
      <c r="J34" s="1">
        <f t="shared" ref="J34:J65" si="4">G34-H34-I34</f>
        <v>15</v>
      </c>
    </row>
    <row r="35" spans="1:10" ht="15.75" customHeight="1" x14ac:dyDescent="0.2">
      <c r="A35" t="s">
        <v>92</v>
      </c>
      <c r="B35" t="s">
        <v>102</v>
      </c>
      <c r="C35" t="s">
        <v>103</v>
      </c>
      <c r="D35" t="s">
        <v>104</v>
      </c>
      <c r="E35" s="5">
        <v>3000</v>
      </c>
      <c r="F35" s="7">
        <f t="shared" si="3"/>
        <v>3900</v>
      </c>
      <c r="G35" s="1">
        <v>15</v>
      </c>
      <c r="H35" s="1">
        <f>Sales!D35</f>
        <v>0</v>
      </c>
      <c r="I35" s="1">
        <v>0</v>
      </c>
      <c r="J35" s="1">
        <f t="shared" si="4"/>
        <v>15</v>
      </c>
    </row>
    <row r="36" spans="1:10" ht="15.75" customHeight="1" x14ac:dyDescent="0.2">
      <c r="A36" t="s">
        <v>92</v>
      </c>
      <c r="B36" t="s">
        <v>105</v>
      </c>
      <c r="C36" t="s">
        <v>106</v>
      </c>
      <c r="D36" t="s">
        <v>107</v>
      </c>
      <c r="E36" s="5">
        <v>3500</v>
      </c>
      <c r="F36" s="7">
        <f t="shared" si="3"/>
        <v>4550</v>
      </c>
      <c r="G36" s="1">
        <v>15</v>
      </c>
      <c r="H36" s="1">
        <f>Sales!D36</f>
        <v>0</v>
      </c>
      <c r="I36" s="1">
        <v>0</v>
      </c>
      <c r="J36" s="1">
        <f t="shared" si="4"/>
        <v>15</v>
      </c>
    </row>
    <row r="37" spans="1:10" ht="15.75" customHeight="1" x14ac:dyDescent="0.2">
      <c r="A37" t="s">
        <v>92</v>
      </c>
      <c r="B37" t="s">
        <v>108</v>
      </c>
      <c r="C37" t="s">
        <v>109</v>
      </c>
      <c r="D37" t="s">
        <v>110</v>
      </c>
      <c r="E37" s="5">
        <v>4500</v>
      </c>
      <c r="F37" s="7">
        <f t="shared" si="3"/>
        <v>5850</v>
      </c>
      <c r="G37" s="1">
        <v>15</v>
      </c>
      <c r="H37" s="1">
        <f>Sales!D37</f>
        <v>0</v>
      </c>
      <c r="I37" s="1">
        <v>0</v>
      </c>
      <c r="J37" s="1">
        <f t="shared" si="4"/>
        <v>15</v>
      </c>
    </row>
    <row r="38" spans="1:10" ht="15.75" customHeight="1" x14ac:dyDescent="0.2">
      <c r="A38" t="s">
        <v>92</v>
      </c>
      <c r="B38" t="s">
        <v>111</v>
      </c>
      <c r="C38" t="s">
        <v>112</v>
      </c>
      <c r="D38" t="s">
        <v>113</v>
      </c>
      <c r="E38" s="5">
        <v>1500</v>
      </c>
      <c r="F38" s="7">
        <f t="shared" si="3"/>
        <v>1950</v>
      </c>
      <c r="G38" s="1">
        <v>15</v>
      </c>
      <c r="H38" s="1">
        <f>Sales!D38</f>
        <v>0</v>
      </c>
      <c r="I38" s="1">
        <v>0</v>
      </c>
      <c r="J38" s="1">
        <f t="shared" si="4"/>
        <v>15</v>
      </c>
    </row>
    <row r="39" spans="1:10" ht="15.75" customHeight="1" x14ac:dyDescent="0.2">
      <c r="A39" t="s">
        <v>92</v>
      </c>
      <c r="B39" t="s">
        <v>114</v>
      </c>
      <c r="C39" t="s">
        <v>115</v>
      </c>
      <c r="D39" t="s">
        <v>116</v>
      </c>
      <c r="E39" s="5">
        <v>2000</v>
      </c>
      <c r="F39" s="7">
        <f t="shared" si="3"/>
        <v>2600</v>
      </c>
      <c r="G39" s="1">
        <v>15</v>
      </c>
      <c r="H39" s="1">
        <f>Sales!D39</f>
        <v>0</v>
      </c>
      <c r="I39" s="1">
        <v>0</v>
      </c>
      <c r="J39" s="1">
        <f t="shared" si="4"/>
        <v>15</v>
      </c>
    </row>
    <row r="40" spans="1:10" ht="15.75" customHeight="1" x14ac:dyDescent="0.2">
      <c r="A40" t="s">
        <v>92</v>
      </c>
      <c r="B40" t="s">
        <v>117</v>
      </c>
      <c r="C40" t="s">
        <v>118</v>
      </c>
      <c r="D40" t="s">
        <v>119</v>
      </c>
      <c r="E40" s="5">
        <v>4250</v>
      </c>
      <c r="F40" s="7">
        <f t="shared" si="3"/>
        <v>5525</v>
      </c>
      <c r="G40" s="1">
        <v>15</v>
      </c>
      <c r="H40" s="1">
        <f>Sales!D40</f>
        <v>0</v>
      </c>
      <c r="I40" s="1">
        <v>0</v>
      </c>
      <c r="J40" s="1">
        <f t="shared" si="4"/>
        <v>15</v>
      </c>
    </row>
    <row r="41" spans="1:10" ht="15.75" customHeight="1" x14ac:dyDescent="0.2">
      <c r="A41" t="s">
        <v>92</v>
      </c>
      <c r="B41" t="s">
        <v>120</v>
      </c>
      <c r="C41" t="s">
        <v>121</v>
      </c>
      <c r="D41" t="s">
        <v>122</v>
      </c>
      <c r="E41" s="5">
        <v>4500</v>
      </c>
      <c r="F41" s="7">
        <f t="shared" si="3"/>
        <v>5850</v>
      </c>
      <c r="G41" s="1">
        <v>15</v>
      </c>
      <c r="H41" s="1">
        <f>Sales!D41</f>
        <v>0</v>
      </c>
      <c r="I41" s="1">
        <v>0</v>
      </c>
      <c r="J41" s="1">
        <f t="shared" si="4"/>
        <v>15</v>
      </c>
    </row>
    <row r="42" spans="1:10" ht="15.75" customHeight="1" x14ac:dyDescent="0.2">
      <c r="A42" t="s">
        <v>123</v>
      </c>
      <c r="B42" t="s">
        <v>124</v>
      </c>
      <c r="C42" t="s">
        <v>125</v>
      </c>
      <c r="D42" t="s">
        <v>126</v>
      </c>
      <c r="E42" s="5">
        <v>1200</v>
      </c>
      <c r="F42" s="7">
        <f t="shared" si="3"/>
        <v>1560</v>
      </c>
      <c r="G42" s="1">
        <v>15</v>
      </c>
      <c r="H42" s="1">
        <f>Sales!D42</f>
        <v>0</v>
      </c>
      <c r="I42" s="1">
        <v>0</v>
      </c>
      <c r="J42" s="1">
        <f t="shared" si="4"/>
        <v>15</v>
      </c>
    </row>
    <row r="43" spans="1:10" ht="15.75" customHeight="1" x14ac:dyDescent="0.2">
      <c r="A43" t="s">
        <v>123</v>
      </c>
      <c r="B43" t="s">
        <v>127</v>
      </c>
      <c r="C43" t="s">
        <v>128</v>
      </c>
      <c r="D43" t="s">
        <v>129</v>
      </c>
      <c r="E43" s="5">
        <v>1500</v>
      </c>
      <c r="F43" s="7">
        <f t="shared" si="3"/>
        <v>1950</v>
      </c>
      <c r="G43" s="1">
        <v>15</v>
      </c>
      <c r="H43" s="1">
        <f>Sales!D43</f>
        <v>0</v>
      </c>
      <c r="I43" s="1">
        <v>0</v>
      </c>
      <c r="J43" s="1">
        <f t="shared" si="4"/>
        <v>15</v>
      </c>
    </row>
    <row r="44" spans="1:10" ht="15.75" customHeight="1" x14ac:dyDescent="0.2">
      <c r="A44" t="s">
        <v>123</v>
      </c>
      <c r="B44" t="s">
        <v>130</v>
      </c>
      <c r="C44" t="s">
        <v>131</v>
      </c>
      <c r="D44" t="s">
        <v>132</v>
      </c>
      <c r="E44" s="5">
        <v>2000</v>
      </c>
      <c r="F44" s="7">
        <f t="shared" si="3"/>
        <v>2600</v>
      </c>
      <c r="G44" s="1">
        <v>15</v>
      </c>
      <c r="H44" s="1">
        <f>Sales!D44</f>
        <v>0</v>
      </c>
      <c r="I44" s="1">
        <v>0</v>
      </c>
      <c r="J44" s="1">
        <f t="shared" si="4"/>
        <v>15</v>
      </c>
    </row>
    <row r="45" spans="1:10" ht="12.95" customHeight="1" x14ac:dyDescent="0.2">
      <c r="A45" t="s">
        <v>123</v>
      </c>
      <c r="B45" t="s">
        <v>133</v>
      </c>
      <c r="C45" t="s">
        <v>134</v>
      </c>
      <c r="D45" t="s">
        <v>135</v>
      </c>
      <c r="E45" s="5">
        <v>2500</v>
      </c>
      <c r="F45" s="7">
        <f t="shared" si="3"/>
        <v>3250</v>
      </c>
      <c r="G45" s="1">
        <v>15</v>
      </c>
      <c r="H45" s="1">
        <f>Sales!D45</f>
        <v>0</v>
      </c>
      <c r="I45" s="1">
        <v>0</v>
      </c>
      <c r="J45" s="1">
        <f t="shared" si="4"/>
        <v>15</v>
      </c>
    </row>
    <row r="46" spans="1:10" ht="12.95" customHeight="1" x14ac:dyDescent="0.2">
      <c r="A46" t="s">
        <v>123</v>
      </c>
      <c r="B46" t="s">
        <v>136</v>
      </c>
      <c r="C46" t="s">
        <v>137</v>
      </c>
      <c r="D46" t="s">
        <v>138</v>
      </c>
      <c r="E46" s="5">
        <v>3500</v>
      </c>
      <c r="F46" s="7">
        <f t="shared" si="3"/>
        <v>4550</v>
      </c>
      <c r="G46" s="1">
        <v>15</v>
      </c>
      <c r="H46" s="1">
        <f>Sales!D46</f>
        <v>0</v>
      </c>
      <c r="I46" s="1">
        <v>0</v>
      </c>
      <c r="J46" s="1">
        <f t="shared" si="4"/>
        <v>15</v>
      </c>
    </row>
    <row r="47" spans="1:10" ht="12.95" customHeight="1" x14ac:dyDescent="0.2">
      <c r="A47" t="s">
        <v>123</v>
      </c>
      <c r="B47" t="s">
        <v>139</v>
      </c>
      <c r="C47" t="s">
        <v>140</v>
      </c>
      <c r="D47" t="s">
        <v>141</v>
      </c>
      <c r="E47" s="5">
        <v>3000</v>
      </c>
      <c r="F47" s="7">
        <f t="shared" si="3"/>
        <v>3900</v>
      </c>
      <c r="G47" s="1">
        <v>15</v>
      </c>
      <c r="H47" s="1">
        <f>Sales!D47</f>
        <v>0</v>
      </c>
      <c r="I47" s="1">
        <v>0</v>
      </c>
      <c r="J47" s="1">
        <f t="shared" si="4"/>
        <v>15</v>
      </c>
    </row>
    <row r="48" spans="1:10" ht="12.95" customHeight="1" x14ac:dyDescent="0.2">
      <c r="A48" t="s">
        <v>123</v>
      </c>
      <c r="B48" t="s">
        <v>142</v>
      </c>
      <c r="C48" t="s">
        <v>143</v>
      </c>
      <c r="D48" t="s">
        <v>144</v>
      </c>
      <c r="E48" s="5">
        <v>1800</v>
      </c>
      <c r="F48" s="7">
        <f t="shared" si="3"/>
        <v>2340</v>
      </c>
      <c r="G48" s="1">
        <v>15</v>
      </c>
      <c r="H48" s="1">
        <f>Sales!D48</f>
        <v>0</v>
      </c>
      <c r="I48" s="1">
        <v>0</v>
      </c>
      <c r="J48" s="1">
        <f t="shared" si="4"/>
        <v>15</v>
      </c>
    </row>
    <row r="49" spans="1:10" ht="12.95" customHeight="1" x14ac:dyDescent="0.2">
      <c r="A49" t="s">
        <v>123</v>
      </c>
      <c r="B49" t="s">
        <v>145</v>
      </c>
      <c r="C49" t="s">
        <v>146</v>
      </c>
      <c r="D49" t="s">
        <v>147</v>
      </c>
      <c r="E49" s="5">
        <v>2200</v>
      </c>
      <c r="F49" s="7">
        <f t="shared" si="3"/>
        <v>2860</v>
      </c>
      <c r="G49" s="1">
        <v>15</v>
      </c>
      <c r="H49" s="1">
        <f>Sales!D49</f>
        <v>0</v>
      </c>
      <c r="I49" s="1">
        <v>0</v>
      </c>
      <c r="J49" s="1">
        <f t="shared" si="4"/>
        <v>15</v>
      </c>
    </row>
    <row r="50" spans="1:10" ht="12.95" customHeight="1" x14ac:dyDescent="0.2">
      <c r="A50" t="s">
        <v>123</v>
      </c>
      <c r="B50" t="s">
        <v>148</v>
      </c>
      <c r="C50" t="s">
        <v>149</v>
      </c>
      <c r="D50" t="s">
        <v>150</v>
      </c>
      <c r="E50" s="5">
        <v>2800</v>
      </c>
      <c r="F50" s="7">
        <f t="shared" si="3"/>
        <v>3640</v>
      </c>
      <c r="G50" s="1">
        <v>15</v>
      </c>
      <c r="H50" s="1">
        <f>Sales!D50</f>
        <v>0</v>
      </c>
      <c r="I50" s="1">
        <v>0</v>
      </c>
      <c r="J50" s="1">
        <f t="shared" si="4"/>
        <v>15</v>
      </c>
    </row>
    <row r="51" spans="1:10" ht="12.95" customHeight="1" x14ac:dyDescent="0.2">
      <c r="A51" t="s">
        <v>123</v>
      </c>
      <c r="B51" t="s">
        <v>151</v>
      </c>
      <c r="C51" t="s">
        <v>152</v>
      </c>
      <c r="D51" t="s">
        <v>153</v>
      </c>
      <c r="E51" s="5">
        <v>1500</v>
      </c>
      <c r="F51" s="7">
        <f t="shared" si="3"/>
        <v>1950</v>
      </c>
      <c r="G51" s="1">
        <v>15</v>
      </c>
      <c r="H51" s="1">
        <f>Sales!D51</f>
        <v>0</v>
      </c>
      <c r="I51" s="1">
        <v>0</v>
      </c>
      <c r="J51" s="1">
        <f t="shared" si="4"/>
        <v>15</v>
      </c>
    </row>
    <row r="52" spans="1:10" ht="12.95" customHeight="1" x14ac:dyDescent="0.2">
      <c r="A52" t="s">
        <v>154</v>
      </c>
      <c r="B52" t="s">
        <v>155</v>
      </c>
      <c r="C52" t="s">
        <v>156</v>
      </c>
      <c r="D52" t="s">
        <v>157</v>
      </c>
      <c r="E52" s="5">
        <v>1800</v>
      </c>
      <c r="F52" s="7">
        <f t="shared" si="3"/>
        <v>2340</v>
      </c>
      <c r="G52" s="1">
        <v>15</v>
      </c>
      <c r="H52" s="1">
        <f>Sales!D52</f>
        <v>0</v>
      </c>
      <c r="I52" s="1">
        <v>0</v>
      </c>
      <c r="J52" s="1">
        <f t="shared" si="4"/>
        <v>15</v>
      </c>
    </row>
    <row r="53" spans="1:10" ht="12.95" customHeight="1" x14ac:dyDescent="0.2">
      <c r="A53" t="s">
        <v>154</v>
      </c>
      <c r="B53" t="s">
        <v>158</v>
      </c>
      <c r="C53" t="s">
        <v>159</v>
      </c>
      <c r="D53" t="s">
        <v>160</v>
      </c>
      <c r="E53" s="5">
        <v>2200</v>
      </c>
      <c r="F53" s="7">
        <f t="shared" si="3"/>
        <v>2860</v>
      </c>
      <c r="G53" s="1">
        <v>15</v>
      </c>
      <c r="H53" s="1">
        <f>Sales!D53</f>
        <v>3</v>
      </c>
      <c r="I53" s="1">
        <v>0</v>
      </c>
      <c r="J53" s="1">
        <f t="shared" si="4"/>
        <v>12</v>
      </c>
    </row>
    <row r="54" spans="1:10" ht="12.95" customHeight="1" x14ac:dyDescent="0.2">
      <c r="A54" t="s">
        <v>154</v>
      </c>
      <c r="B54" t="s">
        <v>161</v>
      </c>
      <c r="C54" t="s">
        <v>162</v>
      </c>
      <c r="D54" t="s">
        <v>163</v>
      </c>
      <c r="E54" s="5">
        <v>1500</v>
      </c>
      <c r="F54" s="7">
        <f t="shared" si="3"/>
        <v>1950</v>
      </c>
      <c r="G54" s="1">
        <v>15</v>
      </c>
      <c r="H54" s="1">
        <f>Sales!D54</f>
        <v>1</v>
      </c>
      <c r="I54" s="1">
        <v>0</v>
      </c>
      <c r="J54" s="1">
        <f t="shared" si="4"/>
        <v>14</v>
      </c>
    </row>
    <row r="55" spans="1:10" ht="12.95" customHeight="1" x14ac:dyDescent="0.2">
      <c r="A55" t="s">
        <v>154</v>
      </c>
      <c r="B55" t="s">
        <v>164</v>
      </c>
      <c r="C55" t="s">
        <v>165</v>
      </c>
      <c r="D55" t="s">
        <v>166</v>
      </c>
      <c r="E55" s="5">
        <v>1800</v>
      </c>
      <c r="F55" s="7">
        <f t="shared" si="3"/>
        <v>2340</v>
      </c>
      <c r="G55" s="1">
        <v>15</v>
      </c>
      <c r="H55" s="1">
        <f>Sales!D55</f>
        <v>0</v>
      </c>
      <c r="I55" s="1">
        <v>0</v>
      </c>
      <c r="J55" s="1">
        <f t="shared" si="4"/>
        <v>15</v>
      </c>
    </row>
    <row r="56" spans="1:10" ht="12.95" customHeight="1" x14ac:dyDescent="0.2">
      <c r="A56" t="s">
        <v>154</v>
      </c>
      <c r="B56" t="s">
        <v>167</v>
      </c>
      <c r="C56" t="s">
        <v>168</v>
      </c>
      <c r="D56" t="s">
        <v>169</v>
      </c>
      <c r="E56" s="5">
        <v>2000</v>
      </c>
      <c r="F56" s="7">
        <f t="shared" si="3"/>
        <v>2600</v>
      </c>
      <c r="G56" s="1">
        <v>15</v>
      </c>
      <c r="H56" s="1">
        <f>Sales!D56</f>
        <v>1</v>
      </c>
      <c r="I56" s="1">
        <v>0</v>
      </c>
      <c r="J56" s="1">
        <f t="shared" si="4"/>
        <v>14</v>
      </c>
    </row>
    <row r="57" spans="1:10" ht="12.95" customHeight="1" x14ac:dyDescent="0.2">
      <c r="A57" t="s">
        <v>154</v>
      </c>
      <c r="B57" t="s">
        <v>170</v>
      </c>
      <c r="C57" t="s">
        <v>171</v>
      </c>
      <c r="D57" t="s">
        <v>172</v>
      </c>
      <c r="E57" s="5">
        <v>2500</v>
      </c>
      <c r="F57" s="7">
        <f t="shared" si="3"/>
        <v>3250</v>
      </c>
      <c r="G57" s="1">
        <v>15</v>
      </c>
      <c r="H57" s="1">
        <f>Sales!D57</f>
        <v>0</v>
      </c>
      <c r="I57" s="1">
        <v>0</v>
      </c>
      <c r="J57" s="1">
        <f t="shared" si="4"/>
        <v>15</v>
      </c>
    </row>
    <row r="58" spans="1:10" ht="12.95" customHeight="1" x14ac:dyDescent="0.2">
      <c r="A58" t="s">
        <v>154</v>
      </c>
      <c r="B58" t="s">
        <v>173</v>
      </c>
      <c r="C58" t="s">
        <v>174</v>
      </c>
      <c r="D58" t="s">
        <v>175</v>
      </c>
      <c r="E58" s="5">
        <v>2000</v>
      </c>
      <c r="F58" s="7">
        <f t="shared" si="3"/>
        <v>2600</v>
      </c>
      <c r="G58" s="1">
        <v>15</v>
      </c>
      <c r="H58" s="1">
        <f>Sales!D58</f>
        <v>0</v>
      </c>
      <c r="I58" s="1">
        <v>0</v>
      </c>
      <c r="J58" s="1">
        <f t="shared" si="4"/>
        <v>15</v>
      </c>
    </row>
    <row r="59" spans="1:10" ht="12.95" customHeight="1" x14ac:dyDescent="0.2">
      <c r="A59" t="s">
        <v>154</v>
      </c>
      <c r="B59" t="s">
        <v>176</v>
      </c>
      <c r="C59" t="s">
        <v>177</v>
      </c>
      <c r="D59" t="s">
        <v>178</v>
      </c>
      <c r="E59" s="5">
        <v>2500</v>
      </c>
      <c r="F59" s="7">
        <f t="shared" si="3"/>
        <v>3250</v>
      </c>
      <c r="G59" s="1">
        <v>15</v>
      </c>
      <c r="H59" s="1">
        <f>Sales!D59</f>
        <v>0</v>
      </c>
      <c r="I59" s="1">
        <v>0</v>
      </c>
      <c r="J59" s="1">
        <f t="shared" si="4"/>
        <v>15</v>
      </c>
    </row>
    <row r="60" spans="1:10" ht="12.95" customHeight="1" x14ac:dyDescent="0.2">
      <c r="A60" t="s">
        <v>154</v>
      </c>
      <c r="B60" t="s">
        <v>179</v>
      </c>
      <c r="C60" t="s">
        <v>180</v>
      </c>
      <c r="D60" t="s">
        <v>181</v>
      </c>
      <c r="E60" s="5">
        <v>1500</v>
      </c>
      <c r="F60" s="7">
        <f t="shared" si="3"/>
        <v>1950</v>
      </c>
      <c r="G60" s="1">
        <v>15</v>
      </c>
      <c r="H60" s="1">
        <f>Sales!D60</f>
        <v>0</v>
      </c>
      <c r="I60" s="1">
        <v>0</v>
      </c>
      <c r="J60" s="1">
        <f t="shared" si="4"/>
        <v>15</v>
      </c>
    </row>
    <row r="61" spans="1:10" ht="12.95" customHeight="1" x14ac:dyDescent="0.2">
      <c r="A61" t="s">
        <v>154</v>
      </c>
      <c r="B61" t="s">
        <v>182</v>
      </c>
      <c r="C61" t="s">
        <v>183</v>
      </c>
      <c r="D61" t="s">
        <v>184</v>
      </c>
      <c r="E61" s="5">
        <v>1800</v>
      </c>
      <c r="F61" s="7">
        <f t="shared" si="3"/>
        <v>2340</v>
      </c>
      <c r="G61" s="1">
        <v>15</v>
      </c>
      <c r="H61" s="1">
        <f>Sales!D61</f>
        <v>2</v>
      </c>
      <c r="I61" s="1">
        <v>0</v>
      </c>
      <c r="J61" s="1">
        <f t="shared" si="4"/>
        <v>13</v>
      </c>
    </row>
    <row r="62" spans="1:10" ht="12.95" customHeight="1" x14ac:dyDescent="0.2">
      <c r="A62" t="s">
        <v>185</v>
      </c>
      <c r="B62" t="s">
        <v>186</v>
      </c>
      <c r="C62" t="s">
        <v>187</v>
      </c>
      <c r="D62" t="s">
        <v>188</v>
      </c>
      <c r="E62" s="5">
        <v>1500</v>
      </c>
      <c r="F62" s="7">
        <f t="shared" si="3"/>
        <v>1950</v>
      </c>
      <c r="G62" s="1">
        <v>15</v>
      </c>
      <c r="H62" s="1">
        <f>Sales!D62</f>
        <v>3</v>
      </c>
      <c r="I62" s="1">
        <v>0</v>
      </c>
      <c r="J62" s="1">
        <f t="shared" si="4"/>
        <v>12</v>
      </c>
    </row>
    <row r="63" spans="1:10" ht="12.95" customHeight="1" x14ac:dyDescent="0.2">
      <c r="A63" t="s">
        <v>185</v>
      </c>
      <c r="B63" t="s">
        <v>189</v>
      </c>
      <c r="C63" t="s">
        <v>190</v>
      </c>
      <c r="D63" t="s">
        <v>191</v>
      </c>
      <c r="E63" s="5">
        <v>1800</v>
      </c>
      <c r="F63" s="7">
        <f t="shared" si="3"/>
        <v>2340</v>
      </c>
      <c r="G63" s="1">
        <v>15</v>
      </c>
      <c r="H63" s="1">
        <f>Sales!D63</f>
        <v>6</v>
      </c>
      <c r="I63" s="1">
        <v>0</v>
      </c>
      <c r="J63" s="1">
        <f t="shared" si="4"/>
        <v>9</v>
      </c>
    </row>
    <row r="64" spans="1:10" ht="12.95" customHeight="1" x14ac:dyDescent="0.2">
      <c r="A64" t="s">
        <v>185</v>
      </c>
      <c r="B64" t="s">
        <v>192</v>
      </c>
      <c r="C64" t="s">
        <v>193</v>
      </c>
      <c r="D64" t="s">
        <v>194</v>
      </c>
      <c r="E64" s="5">
        <v>2200</v>
      </c>
      <c r="F64" s="7">
        <f t="shared" si="3"/>
        <v>2860</v>
      </c>
      <c r="G64" s="1">
        <v>15</v>
      </c>
      <c r="H64" s="1">
        <f>Sales!D64</f>
        <v>0</v>
      </c>
      <c r="I64" s="1">
        <v>0</v>
      </c>
      <c r="J64" s="1">
        <f t="shared" si="4"/>
        <v>15</v>
      </c>
    </row>
    <row r="65" spans="1:10" ht="12.95" customHeight="1" x14ac:dyDescent="0.2">
      <c r="A65" t="s">
        <v>185</v>
      </c>
      <c r="B65" t="s">
        <v>195</v>
      </c>
      <c r="C65" t="s">
        <v>196</v>
      </c>
      <c r="D65" t="s">
        <v>197</v>
      </c>
      <c r="E65" s="5">
        <v>2500</v>
      </c>
      <c r="F65" s="7">
        <f t="shared" si="3"/>
        <v>3250</v>
      </c>
      <c r="G65" s="1">
        <v>15</v>
      </c>
      <c r="H65" s="1">
        <f>Sales!D65</f>
        <v>0</v>
      </c>
      <c r="I65" s="1">
        <v>0</v>
      </c>
      <c r="J65" s="1">
        <f t="shared" si="4"/>
        <v>15</v>
      </c>
    </row>
    <row r="66" spans="1:10" ht="12.95" customHeight="1" x14ac:dyDescent="0.2">
      <c r="A66" t="s">
        <v>185</v>
      </c>
      <c r="B66" t="s">
        <v>198</v>
      </c>
      <c r="C66" t="s">
        <v>199</v>
      </c>
      <c r="D66" t="s">
        <v>200</v>
      </c>
      <c r="E66" s="5">
        <v>3000</v>
      </c>
      <c r="F66" s="7">
        <f t="shared" ref="F66:F97" si="5">E66 * 1.3</f>
        <v>3900</v>
      </c>
      <c r="G66" s="1">
        <v>15</v>
      </c>
      <c r="H66" s="1">
        <f>Sales!D66</f>
        <v>0</v>
      </c>
      <c r="I66" s="1">
        <v>0</v>
      </c>
      <c r="J66" s="1">
        <f t="shared" ref="J66:J97" si="6">G66-H66-I66</f>
        <v>15</v>
      </c>
    </row>
    <row r="67" spans="1:10" ht="12.95" customHeight="1" x14ac:dyDescent="0.2">
      <c r="A67" t="s">
        <v>185</v>
      </c>
      <c r="B67" t="s">
        <v>201</v>
      </c>
      <c r="C67" t="s">
        <v>202</v>
      </c>
      <c r="D67" t="s">
        <v>203</v>
      </c>
      <c r="E67" s="5">
        <v>4500</v>
      </c>
      <c r="F67" s="7">
        <f t="shared" si="5"/>
        <v>5850</v>
      </c>
      <c r="G67" s="1">
        <v>15</v>
      </c>
      <c r="H67" s="1">
        <f>Sales!D67</f>
        <v>0</v>
      </c>
      <c r="I67" s="1">
        <v>0</v>
      </c>
      <c r="J67" s="1">
        <f t="shared" si="6"/>
        <v>15</v>
      </c>
    </row>
    <row r="68" spans="1:10" ht="12.95" customHeight="1" x14ac:dyDescent="0.2">
      <c r="A68" t="s">
        <v>185</v>
      </c>
      <c r="B68" t="s">
        <v>204</v>
      </c>
      <c r="C68" t="s">
        <v>205</v>
      </c>
      <c r="D68" t="s">
        <v>206</v>
      </c>
      <c r="E68" s="5">
        <v>5500</v>
      </c>
      <c r="F68" s="7">
        <f t="shared" si="5"/>
        <v>7150</v>
      </c>
      <c r="G68" s="1">
        <v>15</v>
      </c>
      <c r="H68" s="1">
        <f>Sales!D68</f>
        <v>0</v>
      </c>
      <c r="I68" s="1">
        <v>0</v>
      </c>
      <c r="J68" s="1">
        <f t="shared" si="6"/>
        <v>15</v>
      </c>
    </row>
    <row r="69" spans="1:10" ht="12.95" customHeight="1" x14ac:dyDescent="0.2">
      <c r="A69" t="s">
        <v>185</v>
      </c>
      <c r="B69" t="s">
        <v>207</v>
      </c>
      <c r="C69" t="s">
        <v>208</v>
      </c>
      <c r="D69" t="s">
        <v>209</v>
      </c>
      <c r="E69" s="5">
        <v>3500</v>
      </c>
      <c r="F69" s="7">
        <f t="shared" si="5"/>
        <v>4550</v>
      </c>
      <c r="G69" s="1">
        <v>15</v>
      </c>
      <c r="H69" s="1">
        <f>Sales!D69</f>
        <v>0</v>
      </c>
      <c r="I69" s="1">
        <v>0</v>
      </c>
      <c r="J69" s="1">
        <f t="shared" si="6"/>
        <v>15</v>
      </c>
    </row>
    <row r="70" spans="1:10" ht="12.95" customHeight="1" x14ac:dyDescent="0.2">
      <c r="A70" t="s">
        <v>185</v>
      </c>
      <c r="B70" t="s">
        <v>210</v>
      </c>
      <c r="C70" t="s">
        <v>211</v>
      </c>
      <c r="D70" t="s">
        <v>212</v>
      </c>
      <c r="E70" s="5">
        <v>5500</v>
      </c>
      <c r="F70" s="7">
        <f t="shared" si="5"/>
        <v>7150</v>
      </c>
      <c r="G70" s="1">
        <v>15</v>
      </c>
      <c r="H70" s="1">
        <f>Sales!D70</f>
        <v>0</v>
      </c>
      <c r="I70" s="1">
        <v>0</v>
      </c>
      <c r="J70" s="1">
        <f t="shared" si="6"/>
        <v>15</v>
      </c>
    </row>
    <row r="71" spans="1:10" ht="12.95" customHeight="1" x14ac:dyDescent="0.2">
      <c r="A71" t="s">
        <v>185</v>
      </c>
      <c r="B71" t="s">
        <v>213</v>
      </c>
      <c r="C71" t="s">
        <v>214</v>
      </c>
      <c r="D71" t="s">
        <v>215</v>
      </c>
      <c r="E71" s="5">
        <v>6000</v>
      </c>
      <c r="F71" s="7">
        <f t="shared" si="5"/>
        <v>7800</v>
      </c>
      <c r="G71" s="1">
        <v>15</v>
      </c>
      <c r="H71" s="1">
        <f>Sales!D71</f>
        <v>0</v>
      </c>
      <c r="I71" s="1">
        <v>0</v>
      </c>
      <c r="J71" s="1">
        <f t="shared" si="6"/>
        <v>15</v>
      </c>
    </row>
    <row r="72" spans="1:10" ht="12.95" customHeight="1" x14ac:dyDescent="0.2">
      <c r="A72" t="s">
        <v>216</v>
      </c>
      <c r="B72" t="s">
        <v>217</v>
      </c>
      <c r="C72" t="s">
        <v>218</v>
      </c>
      <c r="D72" t="s">
        <v>219</v>
      </c>
      <c r="E72" s="5">
        <v>1500</v>
      </c>
      <c r="F72" s="7">
        <f t="shared" si="5"/>
        <v>1950</v>
      </c>
      <c r="G72" s="1">
        <v>15</v>
      </c>
      <c r="H72" s="1">
        <f>Sales!D72</f>
        <v>0</v>
      </c>
      <c r="I72" s="1">
        <v>0</v>
      </c>
      <c r="J72" s="1">
        <f t="shared" si="6"/>
        <v>15</v>
      </c>
    </row>
    <row r="73" spans="1:10" ht="12.95" customHeight="1" x14ac:dyDescent="0.2">
      <c r="A73" t="s">
        <v>216</v>
      </c>
      <c r="B73" t="s">
        <v>220</v>
      </c>
      <c r="C73" t="s">
        <v>221</v>
      </c>
      <c r="D73" t="s">
        <v>222</v>
      </c>
      <c r="E73" s="5">
        <v>1800</v>
      </c>
      <c r="F73" s="7">
        <f t="shared" si="5"/>
        <v>2340</v>
      </c>
      <c r="G73" s="1">
        <v>15</v>
      </c>
      <c r="H73" s="1">
        <f>Sales!D73</f>
        <v>0</v>
      </c>
      <c r="I73" s="1">
        <v>0</v>
      </c>
      <c r="J73" s="1">
        <f t="shared" si="6"/>
        <v>15</v>
      </c>
    </row>
    <row r="74" spans="1:10" ht="12.95" customHeight="1" x14ac:dyDescent="0.2">
      <c r="A74" t="s">
        <v>216</v>
      </c>
      <c r="B74" t="s">
        <v>223</v>
      </c>
      <c r="C74" t="s">
        <v>224</v>
      </c>
      <c r="D74" t="s">
        <v>225</v>
      </c>
      <c r="E74" s="5">
        <v>2500</v>
      </c>
      <c r="F74" s="7">
        <f t="shared" si="5"/>
        <v>3250</v>
      </c>
      <c r="G74" s="1">
        <v>15</v>
      </c>
      <c r="H74" s="1">
        <f>Sales!D74</f>
        <v>0</v>
      </c>
      <c r="I74" s="1">
        <v>0</v>
      </c>
      <c r="J74" s="1">
        <f t="shared" si="6"/>
        <v>15</v>
      </c>
    </row>
    <row r="75" spans="1:10" ht="12.95" customHeight="1" x14ac:dyDescent="0.2">
      <c r="A75" t="s">
        <v>216</v>
      </c>
      <c r="B75" t="s">
        <v>226</v>
      </c>
      <c r="C75" t="s">
        <v>227</v>
      </c>
      <c r="D75" t="s">
        <v>228</v>
      </c>
      <c r="E75" s="5">
        <v>3000</v>
      </c>
      <c r="F75" s="7">
        <f t="shared" si="5"/>
        <v>3900</v>
      </c>
      <c r="G75" s="1">
        <v>15</v>
      </c>
      <c r="H75" s="1">
        <f>Sales!D75</f>
        <v>0</v>
      </c>
      <c r="I75" s="1">
        <v>0</v>
      </c>
      <c r="J75" s="1">
        <f t="shared" si="6"/>
        <v>15</v>
      </c>
    </row>
    <row r="76" spans="1:10" ht="12.95" customHeight="1" x14ac:dyDescent="0.2">
      <c r="A76" t="s">
        <v>216</v>
      </c>
      <c r="B76" t="s">
        <v>229</v>
      </c>
      <c r="C76" t="s">
        <v>230</v>
      </c>
      <c r="D76" t="s">
        <v>231</v>
      </c>
      <c r="E76" s="5">
        <v>4000</v>
      </c>
      <c r="F76" s="7">
        <f t="shared" si="5"/>
        <v>5200</v>
      </c>
      <c r="G76" s="1">
        <v>15</v>
      </c>
      <c r="H76" s="1">
        <f>Sales!D76</f>
        <v>0</v>
      </c>
      <c r="I76" s="1">
        <v>0</v>
      </c>
      <c r="J76" s="1">
        <f t="shared" si="6"/>
        <v>15</v>
      </c>
    </row>
    <row r="77" spans="1:10" ht="12.95" customHeight="1" x14ac:dyDescent="0.2">
      <c r="A77" t="s">
        <v>216</v>
      </c>
      <c r="B77" t="s">
        <v>232</v>
      </c>
      <c r="C77" t="s">
        <v>233</v>
      </c>
      <c r="D77" t="s">
        <v>234</v>
      </c>
      <c r="E77" s="5">
        <v>5000</v>
      </c>
      <c r="F77" s="7">
        <f t="shared" si="5"/>
        <v>6500</v>
      </c>
      <c r="G77" s="1">
        <v>15</v>
      </c>
      <c r="H77" s="1">
        <f>Sales!D77</f>
        <v>0</v>
      </c>
      <c r="I77" s="1">
        <v>0</v>
      </c>
      <c r="J77" s="1">
        <f t="shared" si="6"/>
        <v>15</v>
      </c>
    </row>
    <row r="78" spans="1:10" ht="12.95" customHeight="1" x14ac:dyDescent="0.2">
      <c r="A78" t="s">
        <v>216</v>
      </c>
      <c r="B78" t="s">
        <v>235</v>
      </c>
      <c r="C78" t="s">
        <v>236</v>
      </c>
      <c r="D78" t="s">
        <v>237</v>
      </c>
      <c r="E78" s="5">
        <v>2000</v>
      </c>
      <c r="F78" s="7">
        <f t="shared" si="5"/>
        <v>2600</v>
      </c>
      <c r="G78" s="1">
        <v>15</v>
      </c>
      <c r="H78" s="1">
        <f>Sales!D78</f>
        <v>0</v>
      </c>
      <c r="I78" s="1">
        <v>0</v>
      </c>
      <c r="J78" s="1">
        <f t="shared" si="6"/>
        <v>15</v>
      </c>
    </row>
    <row r="79" spans="1:10" ht="12.95" customHeight="1" x14ac:dyDescent="0.2">
      <c r="A79" t="s">
        <v>216</v>
      </c>
      <c r="B79" t="s">
        <v>238</v>
      </c>
      <c r="C79" t="s">
        <v>239</v>
      </c>
      <c r="D79" t="s">
        <v>240</v>
      </c>
      <c r="E79" s="5">
        <v>2500</v>
      </c>
      <c r="F79" s="7">
        <f t="shared" si="5"/>
        <v>3250</v>
      </c>
      <c r="G79" s="1">
        <v>15</v>
      </c>
      <c r="H79" s="1">
        <f>Sales!D79</f>
        <v>1</v>
      </c>
      <c r="I79" s="1">
        <v>0</v>
      </c>
      <c r="J79" s="1">
        <f t="shared" si="6"/>
        <v>14</v>
      </c>
    </row>
    <row r="80" spans="1:10" ht="12.95" customHeight="1" x14ac:dyDescent="0.2">
      <c r="A80" t="s">
        <v>216</v>
      </c>
      <c r="B80" t="s">
        <v>241</v>
      </c>
      <c r="C80" t="s">
        <v>242</v>
      </c>
      <c r="D80" t="s">
        <v>243</v>
      </c>
      <c r="E80" s="5">
        <v>3500</v>
      </c>
      <c r="F80" s="7">
        <f t="shared" si="5"/>
        <v>4550</v>
      </c>
      <c r="G80" s="1">
        <v>15</v>
      </c>
      <c r="H80" s="1">
        <f>Sales!D80</f>
        <v>1</v>
      </c>
      <c r="I80" s="1">
        <v>0</v>
      </c>
      <c r="J80" s="1">
        <f t="shared" si="6"/>
        <v>14</v>
      </c>
    </row>
    <row r="81" spans="1:10" ht="12.95" customHeight="1" x14ac:dyDescent="0.2">
      <c r="A81" t="s">
        <v>216</v>
      </c>
      <c r="B81" t="s">
        <v>244</v>
      </c>
      <c r="C81" t="s">
        <v>245</v>
      </c>
      <c r="D81" t="s">
        <v>246</v>
      </c>
      <c r="E81" s="5">
        <v>4000</v>
      </c>
      <c r="F81" s="7">
        <f t="shared" si="5"/>
        <v>5200</v>
      </c>
      <c r="G81" s="1">
        <v>15</v>
      </c>
      <c r="H81" s="1">
        <f>Sales!D81</f>
        <v>1</v>
      </c>
      <c r="I81" s="1">
        <v>0</v>
      </c>
      <c r="J81" s="1">
        <f t="shared" si="6"/>
        <v>14</v>
      </c>
    </row>
    <row r="82" spans="1:10" ht="12.95" customHeight="1" x14ac:dyDescent="0.2">
      <c r="A82" t="s">
        <v>247</v>
      </c>
      <c r="B82" t="s">
        <v>248</v>
      </c>
      <c r="C82" t="s">
        <v>249</v>
      </c>
      <c r="D82" t="s">
        <v>250</v>
      </c>
      <c r="E82" s="5">
        <v>1000</v>
      </c>
      <c r="F82" s="7">
        <f t="shared" si="5"/>
        <v>1300</v>
      </c>
      <c r="G82" s="1">
        <v>15</v>
      </c>
      <c r="H82" s="1">
        <f>Sales!D82</f>
        <v>1</v>
      </c>
      <c r="I82" s="1">
        <v>0</v>
      </c>
      <c r="J82" s="1">
        <f t="shared" si="6"/>
        <v>14</v>
      </c>
    </row>
    <row r="83" spans="1:10" ht="12.95" customHeight="1" x14ac:dyDescent="0.2">
      <c r="A83" t="s">
        <v>247</v>
      </c>
      <c r="B83" t="s">
        <v>251</v>
      </c>
      <c r="C83" t="s">
        <v>252</v>
      </c>
      <c r="D83" t="s">
        <v>253</v>
      </c>
      <c r="E83" s="5">
        <v>1200</v>
      </c>
      <c r="F83" s="7">
        <f t="shared" si="5"/>
        <v>1560</v>
      </c>
      <c r="G83" s="1">
        <v>15</v>
      </c>
      <c r="H83" s="1">
        <f>Sales!D83</f>
        <v>2</v>
      </c>
      <c r="I83" s="1">
        <v>0</v>
      </c>
      <c r="J83" s="1">
        <f t="shared" si="6"/>
        <v>13</v>
      </c>
    </row>
    <row r="84" spans="1:10" ht="12.95" customHeight="1" x14ac:dyDescent="0.2">
      <c r="A84" t="s">
        <v>247</v>
      </c>
      <c r="B84" t="s">
        <v>254</v>
      </c>
      <c r="C84" t="s">
        <v>255</v>
      </c>
      <c r="D84" t="s">
        <v>256</v>
      </c>
      <c r="E84" s="5">
        <v>1500</v>
      </c>
      <c r="F84" s="7">
        <f t="shared" si="5"/>
        <v>1950</v>
      </c>
      <c r="G84" s="1">
        <v>15</v>
      </c>
      <c r="H84" s="1">
        <f>Sales!D84</f>
        <v>3</v>
      </c>
      <c r="I84" s="1">
        <v>0</v>
      </c>
      <c r="J84" s="1">
        <f t="shared" si="6"/>
        <v>12</v>
      </c>
    </row>
    <row r="85" spans="1:10" ht="12.95" customHeight="1" x14ac:dyDescent="0.2">
      <c r="A85" t="s">
        <v>247</v>
      </c>
      <c r="B85" t="s">
        <v>257</v>
      </c>
      <c r="C85" t="s">
        <v>258</v>
      </c>
      <c r="D85" t="s">
        <v>259</v>
      </c>
      <c r="E85" s="5">
        <v>2500</v>
      </c>
      <c r="F85" s="7">
        <f t="shared" si="5"/>
        <v>3250</v>
      </c>
      <c r="G85" s="1">
        <v>15</v>
      </c>
      <c r="H85" s="1">
        <f>Sales!D85</f>
        <v>3</v>
      </c>
      <c r="I85" s="1">
        <v>0</v>
      </c>
      <c r="J85" s="1">
        <f t="shared" si="6"/>
        <v>12</v>
      </c>
    </row>
    <row r="86" spans="1:10" ht="12.95" customHeight="1" x14ac:dyDescent="0.2">
      <c r="A86" t="s">
        <v>247</v>
      </c>
      <c r="B86" t="s">
        <v>260</v>
      </c>
      <c r="C86" t="s">
        <v>261</v>
      </c>
      <c r="D86" t="s">
        <v>262</v>
      </c>
      <c r="E86" s="5">
        <v>3500</v>
      </c>
      <c r="F86" s="7">
        <f t="shared" si="5"/>
        <v>4550</v>
      </c>
      <c r="G86" s="1">
        <v>15</v>
      </c>
      <c r="H86" s="1">
        <f>Sales!D86</f>
        <v>3</v>
      </c>
      <c r="I86" s="1">
        <v>0</v>
      </c>
      <c r="J86" s="1">
        <f t="shared" si="6"/>
        <v>12</v>
      </c>
    </row>
    <row r="87" spans="1:10" ht="12.95" customHeight="1" x14ac:dyDescent="0.2">
      <c r="A87" t="s">
        <v>247</v>
      </c>
      <c r="B87" t="s">
        <v>263</v>
      </c>
      <c r="C87" t="s">
        <v>264</v>
      </c>
      <c r="D87" t="s">
        <v>265</v>
      </c>
      <c r="E87" s="5">
        <v>1800</v>
      </c>
      <c r="F87" s="7">
        <f t="shared" si="5"/>
        <v>2340</v>
      </c>
      <c r="G87" s="1">
        <v>15</v>
      </c>
      <c r="H87" s="1">
        <f>Sales!D87</f>
        <v>0</v>
      </c>
      <c r="I87" s="1">
        <v>0</v>
      </c>
      <c r="J87" s="1">
        <f t="shared" si="6"/>
        <v>15</v>
      </c>
    </row>
    <row r="88" spans="1:10" ht="12.95" customHeight="1" x14ac:dyDescent="0.2">
      <c r="A88" t="s">
        <v>247</v>
      </c>
      <c r="B88" t="s">
        <v>266</v>
      </c>
      <c r="C88" t="s">
        <v>267</v>
      </c>
      <c r="D88" t="s">
        <v>268</v>
      </c>
      <c r="E88" s="5">
        <v>200</v>
      </c>
      <c r="F88" s="7">
        <f t="shared" si="5"/>
        <v>260</v>
      </c>
      <c r="G88" s="1">
        <v>15</v>
      </c>
      <c r="H88" s="1">
        <f>Sales!D88</f>
        <v>0</v>
      </c>
      <c r="I88" s="1">
        <v>0</v>
      </c>
      <c r="J88" s="1">
        <f t="shared" si="6"/>
        <v>15</v>
      </c>
    </row>
    <row r="89" spans="1:10" ht="12.95" customHeight="1" x14ac:dyDescent="0.2">
      <c r="A89" t="s">
        <v>247</v>
      </c>
      <c r="B89" t="s">
        <v>269</v>
      </c>
      <c r="C89" t="s">
        <v>270</v>
      </c>
      <c r="D89" t="s">
        <v>271</v>
      </c>
      <c r="E89" s="5">
        <v>1500</v>
      </c>
      <c r="F89" s="7">
        <f t="shared" si="5"/>
        <v>1950</v>
      </c>
      <c r="G89" s="1">
        <v>15</v>
      </c>
      <c r="H89" s="1">
        <f>Sales!D89</f>
        <v>0</v>
      </c>
      <c r="I89" s="1">
        <v>0</v>
      </c>
      <c r="J89" s="1">
        <f t="shared" si="6"/>
        <v>15</v>
      </c>
    </row>
    <row r="90" spans="1:10" ht="12.95" customHeight="1" x14ac:dyDescent="0.2">
      <c r="A90" t="s">
        <v>247</v>
      </c>
      <c r="B90" t="s">
        <v>272</v>
      </c>
      <c r="C90" t="s">
        <v>273</v>
      </c>
      <c r="D90" t="s">
        <v>274</v>
      </c>
      <c r="E90" s="5">
        <v>1200</v>
      </c>
      <c r="F90" s="7">
        <f t="shared" si="5"/>
        <v>1560</v>
      </c>
      <c r="G90" s="1">
        <v>15</v>
      </c>
      <c r="H90" s="1">
        <f>Sales!D90</f>
        <v>0</v>
      </c>
      <c r="I90" s="1">
        <v>0</v>
      </c>
      <c r="J90" s="1">
        <f t="shared" si="6"/>
        <v>15</v>
      </c>
    </row>
    <row r="91" spans="1:10" ht="12.95" customHeight="1" x14ac:dyDescent="0.2">
      <c r="A91" t="s">
        <v>247</v>
      </c>
      <c r="B91" t="s">
        <v>275</v>
      </c>
      <c r="C91" t="s">
        <v>276</v>
      </c>
      <c r="D91" t="s">
        <v>277</v>
      </c>
      <c r="E91" s="5">
        <v>2500</v>
      </c>
      <c r="F91" s="7">
        <f t="shared" si="5"/>
        <v>3250</v>
      </c>
      <c r="G91" s="1">
        <v>15</v>
      </c>
      <c r="H91" s="1">
        <f>Sales!D91</f>
        <v>0</v>
      </c>
      <c r="I91" s="1">
        <v>0</v>
      </c>
      <c r="J91" s="1">
        <f t="shared" si="6"/>
        <v>15</v>
      </c>
    </row>
    <row r="92" spans="1:10" ht="12.95" customHeight="1" x14ac:dyDescent="0.2">
      <c r="A92" t="s">
        <v>278</v>
      </c>
      <c r="B92" t="s">
        <v>279</v>
      </c>
      <c r="C92" t="s">
        <v>280</v>
      </c>
      <c r="D92" t="s">
        <v>281</v>
      </c>
      <c r="E92" s="5">
        <v>1500</v>
      </c>
      <c r="F92" s="7">
        <f t="shared" si="5"/>
        <v>1950</v>
      </c>
      <c r="G92" s="1">
        <v>15</v>
      </c>
      <c r="H92" s="1">
        <f>Sales!D92</f>
        <v>0</v>
      </c>
      <c r="I92" s="1">
        <v>0</v>
      </c>
      <c r="J92" s="1">
        <f t="shared" si="6"/>
        <v>15</v>
      </c>
    </row>
    <row r="93" spans="1:10" ht="12.95" customHeight="1" x14ac:dyDescent="0.2">
      <c r="A93" t="s">
        <v>278</v>
      </c>
      <c r="B93" t="s">
        <v>282</v>
      </c>
      <c r="C93" t="s">
        <v>283</v>
      </c>
      <c r="D93" t="s">
        <v>284</v>
      </c>
      <c r="E93" s="5">
        <v>1800</v>
      </c>
      <c r="F93" s="7">
        <f t="shared" si="5"/>
        <v>2340</v>
      </c>
      <c r="G93" s="1">
        <v>15</v>
      </c>
      <c r="H93" s="1">
        <f>Sales!D93</f>
        <v>0</v>
      </c>
      <c r="I93" s="1">
        <v>0</v>
      </c>
      <c r="J93" s="1">
        <f t="shared" si="6"/>
        <v>15</v>
      </c>
    </row>
    <row r="94" spans="1:10" ht="12.95" customHeight="1" x14ac:dyDescent="0.2">
      <c r="A94" t="s">
        <v>278</v>
      </c>
      <c r="B94" t="s">
        <v>285</v>
      </c>
      <c r="C94" t="s">
        <v>286</v>
      </c>
      <c r="D94" t="s">
        <v>287</v>
      </c>
      <c r="E94" s="5">
        <v>1500</v>
      </c>
      <c r="F94" s="7">
        <f t="shared" si="5"/>
        <v>1950</v>
      </c>
      <c r="G94" s="1">
        <v>15</v>
      </c>
      <c r="H94" s="1">
        <f>Sales!D94</f>
        <v>0</v>
      </c>
      <c r="I94" s="1">
        <v>0</v>
      </c>
      <c r="J94" s="1">
        <f t="shared" si="6"/>
        <v>15</v>
      </c>
    </row>
    <row r="95" spans="1:10" ht="12.95" customHeight="1" x14ac:dyDescent="0.2">
      <c r="A95" t="s">
        <v>278</v>
      </c>
      <c r="B95" t="s">
        <v>288</v>
      </c>
      <c r="C95" t="s">
        <v>289</v>
      </c>
      <c r="D95" t="s">
        <v>290</v>
      </c>
      <c r="E95" s="5">
        <v>2000</v>
      </c>
      <c r="F95" s="7">
        <f t="shared" si="5"/>
        <v>2600</v>
      </c>
      <c r="G95" s="1">
        <v>15</v>
      </c>
      <c r="H95" s="1">
        <f>Sales!D95</f>
        <v>1</v>
      </c>
      <c r="I95" s="1">
        <v>0</v>
      </c>
      <c r="J95" s="1">
        <f t="shared" si="6"/>
        <v>14</v>
      </c>
    </row>
    <row r="96" spans="1:10" ht="12.95" customHeight="1" x14ac:dyDescent="0.2">
      <c r="A96" t="s">
        <v>278</v>
      </c>
      <c r="B96" t="s">
        <v>291</v>
      </c>
      <c r="C96" t="s">
        <v>292</v>
      </c>
      <c r="D96" t="s">
        <v>293</v>
      </c>
      <c r="E96" s="5">
        <v>2500</v>
      </c>
      <c r="F96" s="7">
        <f t="shared" si="5"/>
        <v>3250</v>
      </c>
      <c r="G96" s="1">
        <v>15</v>
      </c>
      <c r="H96" s="1">
        <f>Sales!D96</f>
        <v>1</v>
      </c>
      <c r="I96" s="1">
        <v>0</v>
      </c>
      <c r="J96" s="1">
        <f t="shared" si="6"/>
        <v>14</v>
      </c>
    </row>
    <row r="97" spans="1:10" ht="12.95" customHeight="1" x14ac:dyDescent="0.2">
      <c r="A97" t="s">
        <v>278</v>
      </c>
      <c r="B97" t="s">
        <v>294</v>
      </c>
      <c r="C97" t="s">
        <v>295</v>
      </c>
      <c r="D97" t="s">
        <v>296</v>
      </c>
      <c r="E97" s="5">
        <v>3000</v>
      </c>
      <c r="F97" s="7">
        <f t="shared" si="5"/>
        <v>3900</v>
      </c>
      <c r="G97" s="1">
        <v>15</v>
      </c>
      <c r="H97" s="1">
        <f>Sales!D97</f>
        <v>1</v>
      </c>
      <c r="I97" s="1">
        <v>0</v>
      </c>
      <c r="J97" s="1">
        <f t="shared" si="6"/>
        <v>14</v>
      </c>
    </row>
    <row r="98" spans="1:10" ht="12.95" customHeight="1" x14ac:dyDescent="0.2">
      <c r="A98" t="s">
        <v>278</v>
      </c>
      <c r="B98" t="s">
        <v>297</v>
      </c>
      <c r="C98" t="s">
        <v>298</v>
      </c>
      <c r="D98" t="s">
        <v>299</v>
      </c>
      <c r="E98" s="5">
        <v>1800</v>
      </c>
      <c r="F98" s="7">
        <f t="shared" ref="F98:F129" si="7">E98 * 1.3</f>
        <v>2340</v>
      </c>
      <c r="G98" s="1">
        <v>15</v>
      </c>
      <c r="H98" s="1">
        <f>Sales!D98</f>
        <v>1</v>
      </c>
      <c r="I98" s="1">
        <v>0</v>
      </c>
      <c r="J98" s="1">
        <f t="shared" ref="J98:J129" si="8">G98-H98-I98</f>
        <v>14</v>
      </c>
    </row>
    <row r="99" spans="1:10" ht="12.95" customHeight="1" x14ac:dyDescent="0.2">
      <c r="A99" t="s">
        <v>278</v>
      </c>
      <c r="B99" t="s">
        <v>300</v>
      </c>
      <c r="C99" t="s">
        <v>301</v>
      </c>
      <c r="D99" t="s">
        <v>302</v>
      </c>
      <c r="E99" s="5">
        <v>2200</v>
      </c>
      <c r="F99" s="7">
        <f t="shared" si="7"/>
        <v>2860</v>
      </c>
      <c r="G99" s="1">
        <v>15</v>
      </c>
      <c r="H99" s="1">
        <f>Sales!D99</f>
        <v>1</v>
      </c>
      <c r="I99" s="1">
        <v>0</v>
      </c>
      <c r="J99" s="1">
        <f t="shared" si="8"/>
        <v>14</v>
      </c>
    </row>
    <row r="100" spans="1:10" ht="12.95" customHeight="1" x14ac:dyDescent="0.2">
      <c r="A100" t="s">
        <v>278</v>
      </c>
      <c r="B100" t="s">
        <v>303</v>
      </c>
      <c r="C100" t="s">
        <v>304</v>
      </c>
      <c r="D100" t="s">
        <v>305</v>
      </c>
      <c r="E100" s="5">
        <v>8500</v>
      </c>
      <c r="F100" s="7">
        <f t="shared" si="7"/>
        <v>11050</v>
      </c>
      <c r="G100" s="1">
        <v>15</v>
      </c>
      <c r="H100" s="1">
        <f>Sales!D100</f>
        <v>0</v>
      </c>
      <c r="I100" s="1">
        <v>0</v>
      </c>
      <c r="J100" s="1">
        <f t="shared" si="8"/>
        <v>15</v>
      </c>
    </row>
    <row r="101" spans="1:10" ht="12.95" customHeight="1" x14ac:dyDescent="0.2">
      <c r="A101" t="s">
        <v>278</v>
      </c>
      <c r="B101" t="s">
        <v>306</v>
      </c>
      <c r="C101" t="s">
        <v>307</v>
      </c>
      <c r="D101" t="s">
        <v>308</v>
      </c>
      <c r="E101" s="5">
        <v>3500</v>
      </c>
      <c r="F101" s="7">
        <f t="shared" si="7"/>
        <v>4550</v>
      </c>
      <c r="G101" s="1">
        <v>15</v>
      </c>
      <c r="H101" s="1">
        <f>Sales!D101</f>
        <v>1</v>
      </c>
      <c r="I101" s="1">
        <v>0</v>
      </c>
      <c r="J101" s="1">
        <f t="shared" si="8"/>
        <v>14</v>
      </c>
    </row>
    <row r="102" spans="1:10" ht="12.95" customHeight="1" x14ac:dyDescent="0.2">
      <c r="F102" s="1"/>
    </row>
    <row r="103" spans="1:10" ht="12.95" customHeight="1" x14ac:dyDescent="0.2">
      <c r="F103" s="1"/>
    </row>
    <row r="104" spans="1:10" ht="12.95" customHeight="1" x14ac:dyDescent="0.2">
      <c r="F104" s="1"/>
    </row>
    <row r="105" spans="1:10" ht="12.95" customHeight="1" x14ac:dyDescent="0.2">
      <c r="F105" s="1"/>
    </row>
    <row r="106" spans="1:10" ht="12.95" customHeight="1" x14ac:dyDescent="0.2">
      <c r="F106" s="1"/>
    </row>
    <row r="107" spans="1:10" ht="12.95" customHeight="1" x14ac:dyDescent="0.2">
      <c r="F107" s="1"/>
    </row>
    <row r="108" spans="1:10" ht="12.95" customHeight="1" x14ac:dyDescent="0.2">
      <c r="F108" s="1"/>
    </row>
    <row r="109" spans="1:10" ht="12.95" customHeight="1" x14ac:dyDescent="0.2">
      <c r="F109" s="1"/>
    </row>
    <row r="110" spans="1:10" ht="12.95" customHeight="1" x14ac:dyDescent="0.2">
      <c r="F110" s="1"/>
    </row>
    <row r="111" spans="1:10" ht="12.95" customHeight="1" x14ac:dyDescent="0.2">
      <c r="F111" s="1"/>
    </row>
    <row r="112" spans="1:10" ht="12.95" customHeight="1" x14ac:dyDescent="0.2">
      <c r="F112" s="1"/>
    </row>
    <row r="113" spans="6:6" ht="12.95" customHeight="1" x14ac:dyDescent="0.2">
      <c r="F113" s="1"/>
    </row>
    <row r="114" spans="6:6" ht="12.95" customHeight="1" x14ac:dyDescent="0.2">
      <c r="F114" s="1"/>
    </row>
    <row r="115" spans="6:6" ht="12.95" customHeight="1" x14ac:dyDescent="0.2">
      <c r="F115" s="1"/>
    </row>
    <row r="116" spans="6:6" ht="12.95" customHeight="1" x14ac:dyDescent="0.2">
      <c r="F116" s="1"/>
    </row>
    <row r="117" spans="6:6" ht="12.95" customHeight="1" x14ac:dyDescent="0.2">
      <c r="F117" s="1"/>
    </row>
    <row r="118" spans="6:6" ht="12.95" customHeight="1" x14ac:dyDescent="0.2">
      <c r="F118" s="1"/>
    </row>
    <row r="119" spans="6:6" ht="12.95" customHeight="1" x14ac:dyDescent="0.2">
      <c r="F119" s="1"/>
    </row>
    <row r="120" spans="6:6" ht="12.95" customHeight="1" x14ac:dyDescent="0.2">
      <c r="F120" s="1"/>
    </row>
    <row r="121" spans="6:6" ht="12.95" customHeight="1" x14ac:dyDescent="0.2">
      <c r="F121" s="1"/>
    </row>
    <row r="122" spans="6:6" ht="12.95" customHeight="1" x14ac:dyDescent="0.2">
      <c r="F122" s="1"/>
    </row>
    <row r="123" spans="6:6" ht="12.95" customHeight="1" x14ac:dyDescent="0.2">
      <c r="F123" s="1"/>
    </row>
    <row r="124" spans="6:6" ht="12.95" customHeight="1" x14ac:dyDescent="0.2">
      <c r="F124" s="1"/>
    </row>
    <row r="125" spans="6:6" ht="12.95" customHeight="1" x14ac:dyDescent="0.2">
      <c r="F125" s="1"/>
    </row>
    <row r="126" spans="6:6" ht="12.95" customHeight="1" x14ac:dyDescent="0.2">
      <c r="F126" s="1"/>
    </row>
    <row r="127" spans="6:6" ht="12.95" customHeight="1" x14ac:dyDescent="0.2">
      <c r="F127" s="1"/>
    </row>
    <row r="128" spans="6:6" ht="12.95" customHeight="1" x14ac:dyDescent="0.2">
      <c r="F128" s="1"/>
    </row>
    <row r="129" spans="6:6" ht="12.95" customHeight="1" x14ac:dyDescent="0.2">
      <c r="F129" s="1"/>
    </row>
    <row r="130" spans="6:6" ht="12.95" customHeight="1" x14ac:dyDescent="0.2">
      <c r="F130" s="1"/>
    </row>
    <row r="131" spans="6:6" ht="12.95" customHeight="1" x14ac:dyDescent="0.2">
      <c r="F131" s="1"/>
    </row>
    <row r="132" spans="6:6" ht="12.95" customHeight="1" x14ac:dyDescent="0.2">
      <c r="F132" s="1"/>
    </row>
    <row r="133" spans="6:6" ht="12.95" customHeight="1" x14ac:dyDescent="0.2">
      <c r="F133" s="1"/>
    </row>
    <row r="134" spans="6:6" ht="12.95" customHeight="1" x14ac:dyDescent="0.2">
      <c r="F134" s="1"/>
    </row>
    <row r="135" spans="6:6" ht="12.95" customHeight="1" x14ac:dyDescent="0.2">
      <c r="F135" s="1"/>
    </row>
    <row r="136" spans="6:6" ht="12.95" customHeight="1" x14ac:dyDescent="0.2">
      <c r="F136" s="1"/>
    </row>
    <row r="137" spans="6:6" ht="12.95" customHeight="1" x14ac:dyDescent="0.2">
      <c r="F137" s="1"/>
    </row>
    <row r="138" spans="6:6" ht="12.95" customHeight="1" x14ac:dyDescent="0.2">
      <c r="F138" s="1"/>
    </row>
    <row r="139" spans="6:6" ht="12.95" customHeight="1" x14ac:dyDescent="0.2">
      <c r="F139" s="1"/>
    </row>
    <row r="140" spans="6:6" ht="12.95" customHeight="1" x14ac:dyDescent="0.2">
      <c r="F140" s="1"/>
    </row>
    <row r="141" spans="6:6" ht="12.95" customHeight="1" x14ac:dyDescent="0.2">
      <c r="F141" s="1"/>
    </row>
    <row r="142" spans="6:6" ht="12.95" customHeight="1" x14ac:dyDescent="0.2">
      <c r="F142" s="1"/>
    </row>
    <row r="143" spans="6:6" ht="12.95" customHeight="1" x14ac:dyDescent="0.2">
      <c r="F143" s="1"/>
    </row>
    <row r="144" spans="6:6" ht="12.95" customHeight="1" x14ac:dyDescent="0.2">
      <c r="F144" s="1"/>
    </row>
    <row r="145" spans="6:6" ht="12.95" customHeight="1" x14ac:dyDescent="0.2">
      <c r="F145" s="1"/>
    </row>
    <row r="146" spans="6:6" ht="12.95" customHeight="1" x14ac:dyDescent="0.2">
      <c r="F146" s="1"/>
    </row>
    <row r="147" spans="6:6" ht="12.95" customHeight="1" x14ac:dyDescent="0.2">
      <c r="F147" s="1"/>
    </row>
    <row r="148" spans="6:6" ht="12.95" customHeight="1" x14ac:dyDescent="0.2">
      <c r="F148" s="1"/>
    </row>
    <row r="149" spans="6:6" ht="12.95" customHeight="1" x14ac:dyDescent="0.2">
      <c r="F149" s="1"/>
    </row>
    <row r="150" spans="6:6" ht="12.95" customHeight="1" x14ac:dyDescent="0.2">
      <c r="F150" s="1"/>
    </row>
    <row r="151" spans="6:6" ht="12.95" customHeight="1" x14ac:dyDescent="0.2">
      <c r="F151" s="1"/>
    </row>
    <row r="152" spans="6:6" ht="12.95" customHeight="1" x14ac:dyDescent="0.2">
      <c r="F152" s="1"/>
    </row>
    <row r="153" spans="6:6" ht="12.95" customHeight="1" x14ac:dyDescent="0.2">
      <c r="F153" s="1"/>
    </row>
    <row r="154" spans="6:6" ht="12.95" customHeight="1" x14ac:dyDescent="0.2">
      <c r="F154" s="1"/>
    </row>
    <row r="155" spans="6:6" ht="12.95" customHeight="1" x14ac:dyDescent="0.2">
      <c r="F155" s="1"/>
    </row>
    <row r="156" spans="6:6" ht="12.95" customHeight="1" x14ac:dyDescent="0.2">
      <c r="F156" s="1"/>
    </row>
    <row r="157" spans="6:6" ht="12.95" customHeight="1" x14ac:dyDescent="0.2">
      <c r="F157" s="1"/>
    </row>
    <row r="158" spans="6:6" ht="12.95" customHeight="1" x14ac:dyDescent="0.2">
      <c r="F158" s="1"/>
    </row>
    <row r="159" spans="6:6" ht="12.95" customHeight="1" x14ac:dyDescent="0.2">
      <c r="F159" s="1"/>
    </row>
    <row r="160" spans="6:6" ht="12.95" customHeight="1" x14ac:dyDescent="0.2">
      <c r="F160" s="1"/>
    </row>
    <row r="161" spans="6:6" ht="12.95" customHeight="1" x14ac:dyDescent="0.2">
      <c r="F161" s="1"/>
    </row>
    <row r="162" spans="6:6" ht="12.95" customHeight="1" x14ac:dyDescent="0.2">
      <c r="F162" s="1"/>
    </row>
    <row r="163" spans="6:6" ht="12.95" customHeight="1" x14ac:dyDescent="0.2">
      <c r="F163" s="1"/>
    </row>
    <row r="164" spans="6:6" ht="12.95" customHeight="1" x14ac:dyDescent="0.2">
      <c r="F164" s="1"/>
    </row>
    <row r="165" spans="6:6" ht="12.95" customHeight="1" x14ac:dyDescent="0.2">
      <c r="F165" s="1"/>
    </row>
    <row r="166" spans="6:6" ht="12.95" customHeight="1" x14ac:dyDescent="0.2">
      <c r="F166" s="1"/>
    </row>
    <row r="167" spans="6:6" ht="12.95" customHeight="1" x14ac:dyDescent="0.2">
      <c r="F167" s="1"/>
    </row>
    <row r="168" spans="6:6" ht="12.95" customHeight="1" x14ac:dyDescent="0.2">
      <c r="F168" s="1"/>
    </row>
    <row r="169" spans="6:6" ht="12.95" customHeight="1" x14ac:dyDescent="0.2">
      <c r="F169" s="1"/>
    </row>
    <row r="170" spans="6:6" ht="12.95" customHeight="1" x14ac:dyDescent="0.2">
      <c r="F170" s="1"/>
    </row>
    <row r="171" spans="6:6" ht="12.95" customHeight="1" x14ac:dyDescent="0.2">
      <c r="F171" s="1"/>
    </row>
    <row r="172" spans="6:6" ht="12.95" customHeight="1" x14ac:dyDescent="0.2">
      <c r="F172" s="1"/>
    </row>
    <row r="173" spans="6:6" ht="12.95" customHeight="1" x14ac:dyDescent="0.2">
      <c r="F173" s="1"/>
    </row>
    <row r="174" spans="6:6" ht="12.95" customHeight="1" x14ac:dyDescent="0.2">
      <c r="F174" s="1"/>
    </row>
    <row r="175" spans="6:6" ht="12.95" customHeight="1" x14ac:dyDescent="0.2">
      <c r="F175" s="1"/>
    </row>
    <row r="176" spans="6:6" ht="12.95" customHeight="1" x14ac:dyDescent="0.2">
      <c r="F176" s="1"/>
    </row>
    <row r="177" spans="6:6" ht="12.95" customHeight="1" x14ac:dyDescent="0.2">
      <c r="F177" s="1"/>
    </row>
    <row r="178" spans="6:6" ht="12.95" customHeight="1" x14ac:dyDescent="0.2">
      <c r="F178" s="1"/>
    </row>
    <row r="179" spans="6:6" ht="12.95" customHeight="1" x14ac:dyDescent="0.2">
      <c r="F179" s="1"/>
    </row>
    <row r="180" spans="6:6" ht="12.95" customHeight="1" x14ac:dyDescent="0.2">
      <c r="F180" s="1"/>
    </row>
    <row r="181" spans="6:6" ht="12.95" customHeight="1" x14ac:dyDescent="0.2">
      <c r="F181" s="1"/>
    </row>
    <row r="182" spans="6:6" ht="12.95" customHeight="1" x14ac:dyDescent="0.2">
      <c r="F182" s="1"/>
    </row>
    <row r="183" spans="6:6" ht="12.95" customHeight="1" x14ac:dyDescent="0.2">
      <c r="F183" s="1"/>
    </row>
    <row r="184" spans="6:6" ht="12.95" customHeight="1" x14ac:dyDescent="0.2">
      <c r="F184" s="1"/>
    </row>
    <row r="185" spans="6:6" ht="12.95" customHeight="1" x14ac:dyDescent="0.2">
      <c r="F185" s="1"/>
    </row>
    <row r="186" spans="6:6" ht="12.95" customHeight="1" x14ac:dyDescent="0.2">
      <c r="F186" s="1"/>
    </row>
    <row r="187" spans="6:6" ht="12.95" customHeight="1" x14ac:dyDescent="0.2">
      <c r="F187" s="1"/>
    </row>
    <row r="188" spans="6:6" ht="12.95" customHeight="1" x14ac:dyDescent="0.2">
      <c r="F188" s="1"/>
    </row>
    <row r="189" spans="6:6" ht="12.95" customHeight="1" x14ac:dyDescent="0.2">
      <c r="F189" s="1"/>
    </row>
    <row r="190" spans="6:6" ht="12.95" customHeight="1" x14ac:dyDescent="0.2">
      <c r="F190" s="1"/>
    </row>
    <row r="191" spans="6:6" ht="12.95" customHeight="1" x14ac:dyDescent="0.2">
      <c r="F191" s="1"/>
    </row>
    <row r="192" spans="6:6" ht="12.95" customHeight="1" x14ac:dyDescent="0.2">
      <c r="F192" s="1"/>
    </row>
    <row r="193" spans="6:6" ht="12.95" customHeight="1" x14ac:dyDescent="0.2">
      <c r="F193" s="1"/>
    </row>
    <row r="194" spans="6:6" ht="12.95" customHeight="1" x14ac:dyDescent="0.2">
      <c r="F194" s="1"/>
    </row>
    <row r="195" spans="6:6" ht="12.95" customHeight="1" x14ac:dyDescent="0.2">
      <c r="F195" s="1"/>
    </row>
    <row r="196" spans="6:6" ht="12.95" customHeight="1" x14ac:dyDescent="0.2">
      <c r="F196" s="1"/>
    </row>
    <row r="197" spans="6:6" ht="12.95" customHeight="1" x14ac:dyDescent="0.2">
      <c r="F197" s="1"/>
    </row>
    <row r="198" spans="6:6" ht="12.95" customHeight="1" x14ac:dyDescent="0.2">
      <c r="F198" s="1"/>
    </row>
    <row r="199" spans="6:6" ht="12.95" customHeight="1" x14ac:dyDescent="0.2">
      <c r="F199" s="1"/>
    </row>
    <row r="200" spans="6:6" ht="12.95" customHeight="1" x14ac:dyDescent="0.2">
      <c r="F200" s="1"/>
    </row>
    <row r="201" spans="6:6" ht="12.95" customHeight="1" x14ac:dyDescent="0.2">
      <c r="F201" s="1"/>
    </row>
    <row r="202" spans="6:6" ht="12.95" customHeight="1" x14ac:dyDescent="0.2">
      <c r="F202" s="1"/>
    </row>
    <row r="203" spans="6:6" ht="12.95" customHeight="1" x14ac:dyDescent="0.2">
      <c r="F203" s="1"/>
    </row>
    <row r="204" spans="6:6" ht="12.95" customHeight="1" x14ac:dyDescent="0.2">
      <c r="F204" s="1"/>
    </row>
    <row r="205" spans="6:6" ht="12.95" customHeight="1" x14ac:dyDescent="0.2">
      <c r="F205" s="1"/>
    </row>
    <row r="206" spans="6:6" ht="12.95" customHeight="1" x14ac:dyDescent="0.2">
      <c r="F206" s="1"/>
    </row>
    <row r="207" spans="6:6" ht="12.95" customHeight="1" x14ac:dyDescent="0.2">
      <c r="F207" s="1"/>
    </row>
    <row r="208" spans="6:6" ht="12.95" customHeight="1" x14ac:dyDescent="0.2">
      <c r="F208" s="1"/>
    </row>
    <row r="209" spans="6:6" ht="12.95" customHeight="1" x14ac:dyDescent="0.2">
      <c r="F209" s="1"/>
    </row>
    <row r="210" spans="6:6" ht="12.95" customHeight="1" x14ac:dyDescent="0.2">
      <c r="F210" s="1"/>
    </row>
    <row r="211" spans="6:6" ht="12.95" customHeight="1" x14ac:dyDescent="0.2">
      <c r="F211" s="1"/>
    </row>
    <row r="212" spans="6:6" ht="12.95" customHeight="1" x14ac:dyDescent="0.2">
      <c r="F212" s="1"/>
    </row>
    <row r="213" spans="6:6" ht="12.95" customHeight="1" x14ac:dyDescent="0.2">
      <c r="F213" s="1"/>
    </row>
    <row r="214" spans="6:6" ht="12.95" customHeight="1" x14ac:dyDescent="0.2">
      <c r="F214" s="1"/>
    </row>
    <row r="215" spans="6:6" ht="12.95" customHeight="1" x14ac:dyDescent="0.2">
      <c r="F215" s="1"/>
    </row>
    <row r="216" spans="6:6" ht="12.95" customHeight="1" x14ac:dyDescent="0.2">
      <c r="F216" s="1"/>
    </row>
    <row r="217" spans="6:6" ht="12.95" customHeight="1" x14ac:dyDescent="0.2">
      <c r="F217" s="1"/>
    </row>
    <row r="218" spans="6:6" ht="12.95" customHeight="1" x14ac:dyDescent="0.2">
      <c r="F218" s="1"/>
    </row>
    <row r="219" spans="6:6" ht="12.95" customHeight="1" x14ac:dyDescent="0.2">
      <c r="F219" s="1"/>
    </row>
    <row r="220" spans="6:6" ht="12.95" customHeight="1" x14ac:dyDescent="0.2">
      <c r="F220" s="1"/>
    </row>
    <row r="221" spans="6:6" ht="12.95" customHeight="1" x14ac:dyDescent="0.2">
      <c r="F221" s="1"/>
    </row>
    <row r="222" spans="6:6" ht="12.95" customHeight="1" x14ac:dyDescent="0.2">
      <c r="F222" s="1"/>
    </row>
    <row r="223" spans="6:6" ht="12.95" customHeight="1" x14ac:dyDescent="0.2">
      <c r="F223" s="1"/>
    </row>
    <row r="224" spans="6:6" ht="12.95" customHeight="1" x14ac:dyDescent="0.2">
      <c r="F224" s="1"/>
    </row>
    <row r="225" spans="6:6" ht="12.95" customHeight="1" x14ac:dyDescent="0.2">
      <c r="F225" s="1"/>
    </row>
    <row r="226" spans="6:6" ht="12.95" customHeight="1" x14ac:dyDescent="0.2">
      <c r="F226" s="1"/>
    </row>
    <row r="227" spans="6:6" ht="12.95" customHeight="1" x14ac:dyDescent="0.2">
      <c r="F227" s="1"/>
    </row>
    <row r="228" spans="6:6" ht="12.95" customHeight="1" x14ac:dyDescent="0.2">
      <c r="F228" s="1"/>
    </row>
    <row r="229" spans="6:6" ht="12.95" customHeight="1" x14ac:dyDescent="0.2">
      <c r="F229" s="1"/>
    </row>
    <row r="230" spans="6:6" ht="12.95" customHeight="1" x14ac:dyDescent="0.2">
      <c r="F230" s="1"/>
    </row>
    <row r="231" spans="6:6" ht="12.95" customHeight="1" x14ac:dyDescent="0.2">
      <c r="F231" s="1"/>
    </row>
    <row r="232" spans="6:6" ht="12.95" customHeight="1" x14ac:dyDescent="0.2">
      <c r="F232" s="1"/>
    </row>
    <row r="233" spans="6:6" ht="12.95" customHeight="1" x14ac:dyDescent="0.2">
      <c r="F233" s="1"/>
    </row>
    <row r="234" spans="6:6" ht="12.95" customHeight="1" x14ac:dyDescent="0.2">
      <c r="F234" s="1"/>
    </row>
    <row r="235" spans="6:6" ht="12.95" customHeight="1" x14ac:dyDescent="0.2">
      <c r="F235" s="1"/>
    </row>
    <row r="236" spans="6:6" ht="12.95" customHeight="1" x14ac:dyDescent="0.2">
      <c r="F236" s="1"/>
    </row>
    <row r="237" spans="6:6" ht="12.95" customHeight="1" x14ac:dyDescent="0.2">
      <c r="F237" s="1"/>
    </row>
    <row r="238" spans="6:6" ht="12.95" customHeight="1" x14ac:dyDescent="0.2">
      <c r="F238" s="1"/>
    </row>
    <row r="239" spans="6:6" ht="12.95" customHeight="1" x14ac:dyDescent="0.2">
      <c r="F239" s="1"/>
    </row>
    <row r="240" spans="6:6" ht="12.95" customHeight="1" x14ac:dyDescent="0.2">
      <c r="F240" s="1"/>
    </row>
    <row r="241" spans="6:6" ht="12.95" customHeight="1" x14ac:dyDescent="0.2">
      <c r="F241" s="1"/>
    </row>
    <row r="242" spans="6:6" ht="12.95" customHeight="1" x14ac:dyDescent="0.2">
      <c r="F242" s="1"/>
    </row>
    <row r="243" spans="6:6" ht="12.95" customHeight="1" x14ac:dyDescent="0.2">
      <c r="F243" s="1"/>
    </row>
    <row r="244" spans="6:6" ht="12.95" customHeight="1" x14ac:dyDescent="0.2">
      <c r="F244" s="1"/>
    </row>
    <row r="245" spans="6:6" ht="12.95" customHeight="1" x14ac:dyDescent="0.2">
      <c r="F245" s="1"/>
    </row>
    <row r="246" spans="6:6" ht="12.95" customHeight="1" x14ac:dyDescent="0.2">
      <c r="F246" s="1"/>
    </row>
    <row r="247" spans="6:6" ht="12.95" customHeight="1" x14ac:dyDescent="0.2">
      <c r="F247" s="1"/>
    </row>
    <row r="248" spans="6:6" ht="12.95" customHeight="1" x14ac:dyDescent="0.2">
      <c r="F248" s="1"/>
    </row>
    <row r="249" spans="6:6" ht="12.95" customHeight="1" x14ac:dyDescent="0.2">
      <c r="F249" s="1"/>
    </row>
    <row r="250" spans="6:6" ht="12.95" customHeight="1" x14ac:dyDescent="0.2">
      <c r="F250" s="1"/>
    </row>
    <row r="251" spans="6:6" ht="12.95" customHeight="1" x14ac:dyDescent="0.2">
      <c r="F251" s="1"/>
    </row>
    <row r="252" spans="6:6" ht="12.95" customHeight="1" x14ac:dyDescent="0.2">
      <c r="F252" s="1"/>
    </row>
    <row r="253" spans="6:6" ht="12.95" customHeight="1" x14ac:dyDescent="0.2">
      <c r="F253" s="1"/>
    </row>
    <row r="254" spans="6:6" ht="12.95" customHeight="1" x14ac:dyDescent="0.2">
      <c r="F254" s="1"/>
    </row>
    <row r="255" spans="6:6" ht="12.95" customHeight="1" x14ac:dyDescent="0.2">
      <c r="F255" s="1"/>
    </row>
    <row r="256" spans="6:6" ht="12.95" customHeight="1" x14ac:dyDescent="0.2">
      <c r="F256" s="1"/>
    </row>
    <row r="257" spans="6:6" ht="12.95" customHeight="1" x14ac:dyDescent="0.2">
      <c r="F257" s="1"/>
    </row>
    <row r="258" spans="6:6" ht="12.95" customHeight="1" x14ac:dyDescent="0.2">
      <c r="F258" s="1"/>
    </row>
    <row r="259" spans="6:6" ht="12.95" customHeight="1" x14ac:dyDescent="0.2">
      <c r="F259" s="1"/>
    </row>
    <row r="260" spans="6:6" ht="12.95" customHeight="1" x14ac:dyDescent="0.2">
      <c r="F260" s="1"/>
    </row>
    <row r="261" spans="6:6" ht="12.95" customHeight="1" x14ac:dyDescent="0.2">
      <c r="F261" s="1"/>
    </row>
    <row r="262" spans="6:6" ht="12.95" customHeight="1" x14ac:dyDescent="0.2">
      <c r="F262" s="1"/>
    </row>
    <row r="263" spans="6:6" ht="12.95" customHeight="1" x14ac:dyDescent="0.2">
      <c r="F263" s="1"/>
    </row>
    <row r="264" spans="6:6" ht="12.95" customHeight="1" x14ac:dyDescent="0.2">
      <c r="F264" s="1"/>
    </row>
    <row r="265" spans="6:6" ht="12.95" customHeight="1" x14ac:dyDescent="0.2">
      <c r="F265" s="1"/>
    </row>
    <row r="266" spans="6:6" ht="12.95" customHeight="1" x14ac:dyDescent="0.2">
      <c r="F266" s="1"/>
    </row>
    <row r="267" spans="6:6" ht="12.95" customHeight="1" x14ac:dyDescent="0.2">
      <c r="F267" s="1"/>
    </row>
    <row r="268" spans="6:6" ht="12.95" customHeight="1" x14ac:dyDescent="0.2">
      <c r="F268" s="1"/>
    </row>
    <row r="269" spans="6:6" ht="12.95" customHeight="1" x14ac:dyDescent="0.2">
      <c r="F269" s="1"/>
    </row>
    <row r="270" spans="6:6" ht="12.95" customHeight="1" x14ac:dyDescent="0.2">
      <c r="F270" s="1"/>
    </row>
    <row r="271" spans="6:6" ht="12.95" customHeight="1" x14ac:dyDescent="0.2">
      <c r="F271" s="1"/>
    </row>
    <row r="272" spans="6:6" ht="12.95" customHeight="1" x14ac:dyDescent="0.2">
      <c r="F272" s="1"/>
    </row>
    <row r="273" spans="6:6" ht="12.95" customHeight="1" x14ac:dyDescent="0.2">
      <c r="F273" s="1"/>
    </row>
    <row r="274" spans="6:6" ht="12.95" customHeight="1" x14ac:dyDescent="0.2">
      <c r="F274" s="1"/>
    </row>
    <row r="275" spans="6:6" ht="12.95" customHeight="1" x14ac:dyDescent="0.2">
      <c r="F275" s="1"/>
    </row>
    <row r="276" spans="6:6" ht="12.95" customHeight="1" x14ac:dyDescent="0.2">
      <c r="F276" s="1"/>
    </row>
    <row r="277" spans="6:6" ht="12.95" customHeight="1" x14ac:dyDescent="0.2">
      <c r="F277" s="1"/>
    </row>
    <row r="278" spans="6:6" ht="12.95" customHeight="1" x14ac:dyDescent="0.2">
      <c r="F278" s="1"/>
    </row>
    <row r="279" spans="6:6" ht="12.95" customHeight="1" x14ac:dyDescent="0.2">
      <c r="F279" s="1"/>
    </row>
    <row r="280" spans="6:6" ht="12.95" customHeight="1" x14ac:dyDescent="0.2">
      <c r="F280" s="1"/>
    </row>
    <row r="281" spans="6:6" ht="12.95" customHeight="1" x14ac:dyDescent="0.2">
      <c r="F281" s="1"/>
    </row>
    <row r="282" spans="6:6" ht="12.95" customHeight="1" x14ac:dyDescent="0.2">
      <c r="F282" s="1"/>
    </row>
    <row r="283" spans="6:6" ht="12.95" customHeight="1" x14ac:dyDescent="0.2">
      <c r="F283" s="1"/>
    </row>
    <row r="284" spans="6:6" ht="12.95" customHeight="1" x14ac:dyDescent="0.2">
      <c r="F284" s="1"/>
    </row>
    <row r="285" spans="6:6" ht="12.95" customHeight="1" x14ac:dyDescent="0.2">
      <c r="F285" s="1"/>
    </row>
    <row r="286" spans="6:6" ht="12.95" customHeight="1" x14ac:dyDescent="0.2">
      <c r="F286" s="1"/>
    </row>
    <row r="287" spans="6:6" ht="12.95" customHeight="1" x14ac:dyDescent="0.2">
      <c r="F287" s="1"/>
    </row>
    <row r="288" spans="6:6" ht="12.95" customHeight="1" x14ac:dyDescent="0.2">
      <c r="F288" s="1"/>
    </row>
    <row r="289" spans="6:6" ht="12.95" customHeight="1" x14ac:dyDescent="0.2">
      <c r="F289" s="1"/>
    </row>
    <row r="290" spans="6:6" ht="12.95" customHeight="1" x14ac:dyDescent="0.2">
      <c r="F290" s="1"/>
    </row>
    <row r="291" spans="6:6" ht="12.95" customHeight="1" x14ac:dyDescent="0.2">
      <c r="F291" s="1"/>
    </row>
    <row r="292" spans="6:6" ht="12.95" customHeight="1" x14ac:dyDescent="0.2">
      <c r="F292" s="1"/>
    </row>
    <row r="293" spans="6:6" ht="12.95" customHeight="1" x14ac:dyDescent="0.2">
      <c r="F293" s="1"/>
    </row>
    <row r="294" spans="6:6" ht="12.95" customHeight="1" x14ac:dyDescent="0.2">
      <c r="F294" s="1"/>
    </row>
    <row r="295" spans="6:6" ht="12.95" customHeight="1" x14ac:dyDescent="0.2">
      <c r="F295" s="1"/>
    </row>
    <row r="296" spans="6:6" ht="12.95" customHeight="1" x14ac:dyDescent="0.2">
      <c r="F296" s="1"/>
    </row>
    <row r="297" spans="6:6" ht="12.95" customHeight="1" x14ac:dyDescent="0.2">
      <c r="F297" s="1"/>
    </row>
    <row r="298" spans="6:6" ht="12.95" customHeight="1" x14ac:dyDescent="0.2">
      <c r="F298" s="1"/>
    </row>
    <row r="299" spans="6:6" ht="12.95" customHeight="1" x14ac:dyDescent="0.2">
      <c r="F299" s="1"/>
    </row>
    <row r="300" spans="6:6" ht="12.95" customHeight="1" x14ac:dyDescent="0.2">
      <c r="F300" s="1"/>
    </row>
    <row r="301" spans="6:6" ht="12.95" customHeight="1" x14ac:dyDescent="0.2">
      <c r="F301" s="1"/>
    </row>
    <row r="302" spans="6:6" ht="12.95" customHeight="1" x14ac:dyDescent="0.2">
      <c r="F302" s="1"/>
    </row>
    <row r="303" spans="6:6" ht="12.95" customHeight="1" x14ac:dyDescent="0.2">
      <c r="F303" s="1"/>
    </row>
    <row r="304" spans="6:6" ht="12.95" customHeight="1" x14ac:dyDescent="0.2">
      <c r="F304" s="1"/>
    </row>
    <row r="305" spans="6:6" ht="12.95" customHeight="1" x14ac:dyDescent="0.2">
      <c r="F305" s="1"/>
    </row>
    <row r="306" spans="6:6" ht="12.95" customHeight="1" x14ac:dyDescent="0.2">
      <c r="F306" s="1"/>
    </row>
    <row r="307" spans="6:6" ht="12.95" customHeight="1" x14ac:dyDescent="0.2">
      <c r="F307" s="1"/>
    </row>
    <row r="308" spans="6:6" ht="12.95" customHeight="1" x14ac:dyDescent="0.2">
      <c r="F308" s="1"/>
    </row>
    <row r="309" spans="6:6" ht="12.95" customHeight="1" x14ac:dyDescent="0.2">
      <c r="F309" s="1"/>
    </row>
    <row r="310" spans="6:6" ht="12.95" customHeight="1" x14ac:dyDescent="0.2">
      <c r="F310" s="1"/>
    </row>
    <row r="311" spans="6:6" ht="12.95" customHeight="1" x14ac:dyDescent="0.2">
      <c r="F311" s="1"/>
    </row>
    <row r="312" spans="6:6" ht="12.95" customHeight="1" x14ac:dyDescent="0.2">
      <c r="F312" s="1"/>
    </row>
    <row r="313" spans="6:6" ht="12.95" customHeight="1" x14ac:dyDescent="0.2">
      <c r="F313" s="1"/>
    </row>
    <row r="314" spans="6:6" ht="12.95" customHeight="1" x14ac:dyDescent="0.2">
      <c r="F314" s="1"/>
    </row>
    <row r="315" spans="6:6" ht="12.95" customHeight="1" x14ac:dyDescent="0.2">
      <c r="F315" s="1"/>
    </row>
    <row r="316" spans="6:6" ht="12.95" customHeight="1" x14ac:dyDescent="0.2">
      <c r="F316" s="1"/>
    </row>
    <row r="317" spans="6:6" ht="12.95" customHeight="1" x14ac:dyDescent="0.2">
      <c r="F317" s="1"/>
    </row>
    <row r="318" spans="6:6" ht="12.95" customHeight="1" x14ac:dyDescent="0.2">
      <c r="F318" s="1"/>
    </row>
    <row r="319" spans="6:6" ht="12.95" customHeight="1" x14ac:dyDescent="0.2">
      <c r="F319" s="1"/>
    </row>
    <row r="320" spans="6:6" ht="12.95" customHeight="1" x14ac:dyDescent="0.2">
      <c r="F320" s="1"/>
    </row>
    <row r="321" spans="6:6" ht="12.95" customHeight="1" x14ac:dyDescent="0.2">
      <c r="F321" s="1"/>
    </row>
    <row r="322" spans="6:6" ht="12.95" customHeight="1" x14ac:dyDescent="0.2">
      <c r="F322" s="1"/>
    </row>
    <row r="323" spans="6:6" ht="12.95" customHeight="1" x14ac:dyDescent="0.2">
      <c r="F323" s="1"/>
    </row>
    <row r="324" spans="6:6" ht="12.95" customHeight="1" x14ac:dyDescent="0.2">
      <c r="F324" s="1"/>
    </row>
    <row r="325" spans="6:6" ht="12.95" customHeight="1" x14ac:dyDescent="0.2">
      <c r="F325" s="1"/>
    </row>
    <row r="326" spans="6:6" ht="12.95" customHeight="1" x14ac:dyDescent="0.2">
      <c r="F326" s="1"/>
    </row>
    <row r="327" spans="6:6" ht="12.95" customHeight="1" x14ac:dyDescent="0.2">
      <c r="F327" s="1"/>
    </row>
    <row r="328" spans="6:6" ht="12.95" customHeight="1" x14ac:dyDescent="0.2">
      <c r="F328" s="1"/>
    </row>
    <row r="329" spans="6:6" ht="12.95" customHeight="1" x14ac:dyDescent="0.2">
      <c r="F329" s="1"/>
    </row>
    <row r="330" spans="6:6" ht="12.95" customHeight="1" x14ac:dyDescent="0.2">
      <c r="F330" s="1"/>
    </row>
    <row r="331" spans="6:6" ht="12.95" customHeight="1" x14ac:dyDescent="0.2">
      <c r="F331" s="1"/>
    </row>
    <row r="332" spans="6:6" ht="12.95" customHeight="1" x14ac:dyDescent="0.2">
      <c r="F332" s="1"/>
    </row>
    <row r="333" spans="6:6" ht="12.95" customHeight="1" x14ac:dyDescent="0.2">
      <c r="F333" s="1"/>
    </row>
    <row r="334" spans="6:6" ht="12.95" customHeight="1" x14ac:dyDescent="0.2">
      <c r="F334" s="1"/>
    </row>
    <row r="335" spans="6:6" ht="12.95" customHeight="1" x14ac:dyDescent="0.2">
      <c r="F335" s="1"/>
    </row>
    <row r="336" spans="6:6" ht="12.95" customHeight="1" x14ac:dyDescent="0.2">
      <c r="F336" s="1"/>
    </row>
    <row r="337" spans="6:6" ht="12.95" customHeight="1" x14ac:dyDescent="0.2">
      <c r="F337" s="1"/>
    </row>
    <row r="338" spans="6:6" ht="12.95" customHeight="1" x14ac:dyDescent="0.2">
      <c r="F338" s="1"/>
    </row>
    <row r="339" spans="6:6" ht="12.95" customHeight="1" x14ac:dyDescent="0.2">
      <c r="F339" s="1"/>
    </row>
    <row r="340" spans="6:6" ht="12.95" customHeight="1" x14ac:dyDescent="0.2">
      <c r="F340" s="1"/>
    </row>
    <row r="341" spans="6:6" ht="12.95" customHeight="1" x14ac:dyDescent="0.2">
      <c r="F341" s="1"/>
    </row>
    <row r="342" spans="6:6" ht="12.95" customHeight="1" x14ac:dyDescent="0.2">
      <c r="F342" s="1"/>
    </row>
    <row r="343" spans="6:6" ht="12.95" customHeight="1" x14ac:dyDescent="0.2">
      <c r="F343" s="1"/>
    </row>
    <row r="344" spans="6:6" ht="12.95" customHeight="1" x14ac:dyDescent="0.2">
      <c r="F344" s="1"/>
    </row>
    <row r="345" spans="6:6" ht="12.95" customHeight="1" x14ac:dyDescent="0.2">
      <c r="F345" s="1"/>
    </row>
    <row r="346" spans="6:6" ht="12.95" customHeight="1" x14ac:dyDescent="0.2">
      <c r="F346" s="1"/>
    </row>
    <row r="347" spans="6:6" ht="12.95" customHeight="1" x14ac:dyDescent="0.2">
      <c r="F347" s="1"/>
    </row>
    <row r="348" spans="6:6" ht="12.95" customHeight="1" x14ac:dyDescent="0.2">
      <c r="F348" s="1"/>
    </row>
    <row r="349" spans="6:6" ht="12.95" customHeight="1" x14ac:dyDescent="0.2">
      <c r="F349" s="1"/>
    </row>
    <row r="350" spans="6:6" ht="12.95" customHeight="1" x14ac:dyDescent="0.2">
      <c r="F350" s="1"/>
    </row>
    <row r="351" spans="6:6" ht="12.95" customHeight="1" x14ac:dyDescent="0.2">
      <c r="F351" s="1"/>
    </row>
    <row r="352" spans="6:6" ht="12.95" customHeight="1" x14ac:dyDescent="0.2">
      <c r="F352" s="1"/>
    </row>
    <row r="353" spans="6:6" ht="12.95" customHeight="1" x14ac:dyDescent="0.2">
      <c r="F353" s="1"/>
    </row>
    <row r="354" spans="6:6" ht="12.95" customHeight="1" x14ac:dyDescent="0.2">
      <c r="F354" s="1"/>
    </row>
    <row r="355" spans="6:6" ht="12.95" customHeight="1" x14ac:dyDescent="0.2">
      <c r="F355" s="1"/>
    </row>
    <row r="356" spans="6:6" ht="12.95" customHeight="1" x14ac:dyDescent="0.2">
      <c r="F356" s="1"/>
    </row>
    <row r="357" spans="6:6" ht="12.95" customHeight="1" x14ac:dyDescent="0.2">
      <c r="F357" s="1"/>
    </row>
    <row r="358" spans="6:6" ht="12.95" customHeight="1" x14ac:dyDescent="0.2">
      <c r="F358" s="1"/>
    </row>
    <row r="359" spans="6:6" ht="12.95" customHeight="1" x14ac:dyDescent="0.2">
      <c r="F359" s="1"/>
    </row>
    <row r="360" spans="6:6" ht="12.95" customHeight="1" x14ac:dyDescent="0.2">
      <c r="F360" s="1"/>
    </row>
    <row r="361" spans="6:6" ht="12.95" customHeight="1" x14ac:dyDescent="0.2">
      <c r="F361" s="1"/>
    </row>
    <row r="362" spans="6:6" ht="12.95" customHeight="1" x14ac:dyDescent="0.2">
      <c r="F362" s="1"/>
    </row>
    <row r="363" spans="6:6" ht="12.95" customHeight="1" x14ac:dyDescent="0.2">
      <c r="F363" s="1"/>
    </row>
    <row r="364" spans="6:6" ht="12.95" customHeight="1" x14ac:dyDescent="0.2">
      <c r="F364" s="1"/>
    </row>
    <row r="365" spans="6:6" ht="12.95" customHeight="1" x14ac:dyDescent="0.2">
      <c r="F365" s="1"/>
    </row>
    <row r="366" spans="6:6" ht="12.95" customHeight="1" x14ac:dyDescent="0.2">
      <c r="F366" s="1"/>
    </row>
    <row r="367" spans="6:6" ht="12.95" customHeight="1" x14ac:dyDescent="0.2">
      <c r="F367" s="1"/>
    </row>
    <row r="368" spans="6:6" ht="12.95" customHeight="1" x14ac:dyDescent="0.2">
      <c r="F368" s="1"/>
    </row>
    <row r="369" spans="6:6" ht="12.95" customHeight="1" x14ac:dyDescent="0.2">
      <c r="F369" s="1"/>
    </row>
    <row r="370" spans="6:6" ht="12.95" customHeight="1" x14ac:dyDescent="0.2">
      <c r="F370" s="1"/>
    </row>
    <row r="371" spans="6:6" ht="12.95" customHeight="1" x14ac:dyDescent="0.2">
      <c r="F371" s="1"/>
    </row>
    <row r="372" spans="6:6" ht="12.95" customHeight="1" x14ac:dyDescent="0.2">
      <c r="F372" s="1"/>
    </row>
    <row r="373" spans="6:6" ht="12.95" customHeight="1" x14ac:dyDescent="0.2">
      <c r="F373" s="1"/>
    </row>
    <row r="374" spans="6:6" ht="12.95" customHeight="1" x14ac:dyDescent="0.2">
      <c r="F374" s="1"/>
    </row>
    <row r="375" spans="6:6" ht="12.95" customHeight="1" x14ac:dyDescent="0.2">
      <c r="F375" s="1"/>
    </row>
    <row r="376" spans="6:6" ht="12.95" customHeight="1" x14ac:dyDescent="0.2">
      <c r="F376" s="1"/>
    </row>
    <row r="377" spans="6:6" ht="12.95" customHeight="1" x14ac:dyDescent="0.2">
      <c r="F377" s="1"/>
    </row>
    <row r="378" spans="6:6" ht="12.95" customHeight="1" x14ac:dyDescent="0.2">
      <c r="F378" s="1"/>
    </row>
    <row r="379" spans="6:6" ht="12.95" customHeight="1" x14ac:dyDescent="0.2">
      <c r="F379" s="1"/>
    </row>
    <row r="380" spans="6:6" ht="12.95" customHeight="1" x14ac:dyDescent="0.2">
      <c r="F380" s="1"/>
    </row>
    <row r="381" spans="6:6" ht="12.95" customHeight="1" x14ac:dyDescent="0.2">
      <c r="F381" s="1"/>
    </row>
    <row r="382" spans="6:6" ht="12.95" customHeight="1" x14ac:dyDescent="0.2">
      <c r="F382" s="1"/>
    </row>
    <row r="383" spans="6:6" ht="12.95" customHeight="1" x14ac:dyDescent="0.2">
      <c r="F383" s="1"/>
    </row>
    <row r="384" spans="6:6" ht="12.95" customHeight="1" x14ac:dyDescent="0.2">
      <c r="F384" s="1"/>
    </row>
    <row r="385" spans="6:6" ht="12.95" customHeight="1" x14ac:dyDescent="0.2">
      <c r="F385" s="1"/>
    </row>
    <row r="386" spans="6:6" ht="12.95" customHeight="1" x14ac:dyDescent="0.2">
      <c r="F386" s="1"/>
    </row>
    <row r="387" spans="6:6" ht="12.95" customHeight="1" x14ac:dyDescent="0.2">
      <c r="F387" s="1"/>
    </row>
    <row r="388" spans="6:6" ht="12.95" customHeight="1" x14ac:dyDescent="0.2">
      <c r="F388" s="1"/>
    </row>
    <row r="389" spans="6:6" ht="12.95" customHeight="1" x14ac:dyDescent="0.2">
      <c r="F389" s="1"/>
    </row>
    <row r="390" spans="6:6" ht="12.95" customHeight="1" x14ac:dyDescent="0.2">
      <c r="F390" s="1"/>
    </row>
    <row r="391" spans="6:6" ht="12.95" customHeight="1" x14ac:dyDescent="0.2">
      <c r="F391" s="1"/>
    </row>
    <row r="392" spans="6:6" ht="12.95" customHeight="1" x14ac:dyDescent="0.2">
      <c r="F392" s="1"/>
    </row>
    <row r="393" spans="6:6" ht="12.95" customHeight="1" x14ac:dyDescent="0.2">
      <c r="F393" s="1"/>
    </row>
    <row r="394" spans="6:6" ht="12.95" customHeight="1" x14ac:dyDescent="0.2">
      <c r="F394" s="1"/>
    </row>
    <row r="395" spans="6:6" ht="12.95" customHeight="1" x14ac:dyDescent="0.2">
      <c r="F395" s="1"/>
    </row>
    <row r="396" spans="6:6" ht="12.95" customHeight="1" x14ac:dyDescent="0.2">
      <c r="F396" s="1"/>
    </row>
    <row r="397" spans="6:6" ht="12.95" customHeight="1" x14ac:dyDescent="0.2">
      <c r="F397" s="1"/>
    </row>
    <row r="398" spans="6:6" ht="12.95" customHeight="1" x14ac:dyDescent="0.2">
      <c r="F398" s="1"/>
    </row>
    <row r="399" spans="6:6" ht="12.95" customHeight="1" x14ac:dyDescent="0.2">
      <c r="F399" s="1"/>
    </row>
    <row r="400" spans="6:6" ht="12.95" customHeight="1" x14ac:dyDescent="0.2">
      <c r="F400" s="1"/>
    </row>
    <row r="401" spans="6:6" ht="12.95" customHeight="1" x14ac:dyDescent="0.2">
      <c r="F401" s="1"/>
    </row>
    <row r="402" spans="6:6" ht="12.95" customHeight="1" x14ac:dyDescent="0.2">
      <c r="F402" s="1"/>
    </row>
    <row r="403" spans="6:6" ht="12.95" customHeight="1" x14ac:dyDescent="0.2">
      <c r="F403" s="1"/>
    </row>
    <row r="404" spans="6:6" ht="12.95" customHeight="1" x14ac:dyDescent="0.2">
      <c r="F404" s="1"/>
    </row>
    <row r="405" spans="6:6" ht="12.95" customHeight="1" x14ac:dyDescent="0.2">
      <c r="F405" s="1"/>
    </row>
    <row r="406" spans="6:6" ht="12.95" customHeight="1" x14ac:dyDescent="0.2">
      <c r="F406" s="1"/>
    </row>
    <row r="407" spans="6:6" ht="12.95" customHeight="1" x14ac:dyDescent="0.2">
      <c r="F407" s="1"/>
    </row>
    <row r="408" spans="6:6" ht="12.95" customHeight="1" x14ac:dyDescent="0.2">
      <c r="F408" s="1"/>
    </row>
    <row r="409" spans="6:6" ht="12.95" customHeight="1" x14ac:dyDescent="0.2">
      <c r="F409" s="1"/>
    </row>
    <row r="410" spans="6:6" ht="12.95" customHeight="1" x14ac:dyDescent="0.2">
      <c r="F410" s="1"/>
    </row>
    <row r="411" spans="6:6" ht="12.95" customHeight="1" x14ac:dyDescent="0.2">
      <c r="F411" s="1"/>
    </row>
    <row r="412" spans="6:6" ht="12.95" customHeight="1" x14ac:dyDescent="0.2">
      <c r="F412" s="1"/>
    </row>
    <row r="413" spans="6:6" ht="12.95" customHeight="1" x14ac:dyDescent="0.2">
      <c r="F413" s="1"/>
    </row>
    <row r="414" spans="6:6" ht="12.95" customHeight="1" x14ac:dyDescent="0.2">
      <c r="F414" s="1"/>
    </row>
    <row r="415" spans="6:6" ht="12.95" customHeight="1" x14ac:dyDescent="0.2">
      <c r="F415" s="1"/>
    </row>
    <row r="416" spans="6:6" ht="12.95" customHeight="1" x14ac:dyDescent="0.2">
      <c r="F416" s="1"/>
    </row>
    <row r="417" spans="6:6" ht="12.95" customHeight="1" x14ac:dyDescent="0.2">
      <c r="F417" s="1"/>
    </row>
    <row r="418" spans="6:6" ht="12.95" customHeight="1" x14ac:dyDescent="0.2">
      <c r="F418" s="1"/>
    </row>
    <row r="419" spans="6:6" ht="12.95" customHeight="1" x14ac:dyDescent="0.2">
      <c r="F419" s="1"/>
    </row>
    <row r="420" spans="6:6" ht="12.95" customHeight="1" x14ac:dyDescent="0.2">
      <c r="F420" s="1"/>
    </row>
    <row r="421" spans="6:6" ht="12.95" customHeight="1" x14ac:dyDescent="0.2">
      <c r="F421" s="1"/>
    </row>
    <row r="422" spans="6:6" ht="12.95" customHeight="1" x14ac:dyDescent="0.2">
      <c r="F422" s="1"/>
    </row>
    <row r="423" spans="6:6" ht="12.95" customHeight="1" x14ac:dyDescent="0.2">
      <c r="F423" s="1"/>
    </row>
    <row r="424" spans="6:6" ht="12.95" customHeight="1" x14ac:dyDescent="0.2">
      <c r="F424" s="1"/>
    </row>
    <row r="425" spans="6:6" ht="12.95" customHeight="1" x14ac:dyDescent="0.2">
      <c r="F425" s="1"/>
    </row>
    <row r="426" spans="6:6" ht="12.95" customHeight="1" x14ac:dyDescent="0.2">
      <c r="F426" s="1"/>
    </row>
    <row r="427" spans="6:6" ht="12.95" customHeight="1" x14ac:dyDescent="0.2">
      <c r="F427" s="1"/>
    </row>
    <row r="428" spans="6:6" ht="12.95" customHeight="1" x14ac:dyDescent="0.2">
      <c r="F428" s="1"/>
    </row>
    <row r="429" spans="6:6" ht="12.95" customHeight="1" x14ac:dyDescent="0.2">
      <c r="F429" s="1"/>
    </row>
    <row r="430" spans="6:6" ht="12.95" customHeight="1" x14ac:dyDescent="0.2">
      <c r="F430" s="1"/>
    </row>
    <row r="431" spans="6:6" ht="12.95" customHeight="1" x14ac:dyDescent="0.2">
      <c r="F431" s="1"/>
    </row>
    <row r="432" spans="6:6" ht="12.95" customHeight="1" x14ac:dyDescent="0.2">
      <c r="F432" s="1"/>
    </row>
    <row r="433" spans="6:6" ht="12.95" customHeight="1" x14ac:dyDescent="0.2">
      <c r="F433" s="1"/>
    </row>
    <row r="434" spans="6:6" ht="12.95" customHeight="1" x14ac:dyDescent="0.2">
      <c r="F434" s="1"/>
    </row>
    <row r="435" spans="6:6" ht="12.95" customHeight="1" x14ac:dyDescent="0.2">
      <c r="F435" s="1"/>
    </row>
    <row r="436" spans="6:6" ht="12.95" customHeight="1" x14ac:dyDescent="0.2">
      <c r="F436" s="1"/>
    </row>
    <row r="437" spans="6:6" ht="12.95" customHeight="1" x14ac:dyDescent="0.2">
      <c r="F437" s="1"/>
    </row>
    <row r="438" spans="6:6" ht="12.95" customHeight="1" x14ac:dyDescent="0.2">
      <c r="F438" s="1"/>
    </row>
    <row r="439" spans="6:6" ht="12.95" customHeight="1" x14ac:dyDescent="0.2">
      <c r="F439" s="1"/>
    </row>
    <row r="440" spans="6:6" ht="12.95" customHeight="1" x14ac:dyDescent="0.2">
      <c r="F440" s="1"/>
    </row>
    <row r="441" spans="6:6" ht="12.95" customHeight="1" x14ac:dyDescent="0.2">
      <c r="F441" s="1"/>
    </row>
    <row r="442" spans="6:6" ht="12.95" customHeight="1" x14ac:dyDescent="0.2">
      <c r="F442" s="1"/>
    </row>
    <row r="443" spans="6:6" ht="12.95" customHeight="1" x14ac:dyDescent="0.2">
      <c r="F443" s="1"/>
    </row>
    <row r="444" spans="6:6" ht="12.95" customHeight="1" x14ac:dyDescent="0.2">
      <c r="F444" s="1"/>
    </row>
    <row r="445" spans="6:6" ht="12.95" customHeight="1" x14ac:dyDescent="0.2">
      <c r="F445" s="1"/>
    </row>
    <row r="446" spans="6:6" ht="12.95" customHeight="1" x14ac:dyDescent="0.2">
      <c r="F446" s="1"/>
    </row>
    <row r="447" spans="6:6" ht="12.95" customHeight="1" x14ac:dyDescent="0.2">
      <c r="F447" s="1"/>
    </row>
    <row r="448" spans="6:6" ht="12.95" customHeight="1" x14ac:dyDescent="0.2">
      <c r="F448" s="1"/>
    </row>
    <row r="449" spans="6:6" ht="12.95" customHeight="1" x14ac:dyDescent="0.2">
      <c r="F449" s="1"/>
    </row>
    <row r="450" spans="6:6" ht="12.95" customHeight="1" x14ac:dyDescent="0.2">
      <c r="F450" s="1"/>
    </row>
    <row r="451" spans="6:6" ht="12.95" customHeight="1" x14ac:dyDescent="0.2">
      <c r="F451" s="1"/>
    </row>
    <row r="452" spans="6:6" ht="12.95" customHeight="1" x14ac:dyDescent="0.2">
      <c r="F452" s="1"/>
    </row>
    <row r="453" spans="6:6" ht="12.95" customHeight="1" x14ac:dyDescent="0.2">
      <c r="F453" s="1"/>
    </row>
    <row r="454" spans="6:6" ht="12.95" customHeight="1" x14ac:dyDescent="0.2">
      <c r="F454" s="1"/>
    </row>
    <row r="455" spans="6:6" ht="12.95" customHeight="1" x14ac:dyDescent="0.2">
      <c r="F455" s="1"/>
    </row>
    <row r="456" spans="6:6" ht="12.95" customHeight="1" x14ac:dyDescent="0.2">
      <c r="F456" s="1"/>
    </row>
    <row r="457" spans="6:6" ht="12.95" customHeight="1" x14ac:dyDescent="0.2">
      <c r="F457" s="1"/>
    </row>
    <row r="458" spans="6:6" ht="12.95" customHeight="1" x14ac:dyDescent="0.2">
      <c r="F458" s="1"/>
    </row>
    <row r="459" spans="6:6" ht="12.95" customHeight="1" x14ac:dyDescent="0.2">
      <c r="F459" s="1"/>
    </row>
    <row r="460" spans="6:6" ht="12.95" customHeight="1" x14ac:dyDescent="0.2">
      <c r="F460" s="1"/>
    </row>
    <row r="461" spans="6:6" ht="12.95" customHeight="1" x14ac:dyDescent="0.2">
      <c r="F461" s="1"/>
    </row>
    <row r="462" spans="6:6" ht="12.95" customHeight="1" x14ac:dyDescent="0.2">
      <c r="F462" s="1"/>
    </row>
    <row r="463" spans="6:6" ht="12.95" customHeight="1" x14ac:dyDescent="0.2">
      <c r="F463" s="1"/>
    </row>
    <row r="464" spans="6:6" ht="12.95" customHeight="1" x14ac:dyDescent="0.2">
      <c r="F464" s="1"/>
    </row>
    <row r="465" spans="6:6" ht="12.95" customHeight="1" x14ac:dyDescent="0.2">
      <c r="F465" s="1"/>
    </row>
    <row r="466" spans="6:6" ht="12.95" customHeight="1" x14ac:dyDescent="0.2">
      <c r="F466" s="1"/>
    </row>
    <row r="467" spans="6:6" ht="12.95" customHeight="1" x14ac:dyDescent="0.2">
      <c r="F467" s="1"/>
    </row>
    <row r="468" spans="6:6" ht="12.95" customHeight="1" x14ac:dyDescent="0.2">
      <c r="F468" s="1"/>
    </row>
    <row r="469" spans="6:6" ht="12.95" customHeight="1" x14ac:dyDescent="0.2">
      <c r="F469" s="1"/>
    </row>
    <row r="470" spans="6:6" ht="12.95" customHeight="1" x14ac:dyDescent="0.2">
      <c r="F470" s="1"/>
    </row>
    <row r="471" spans="6:6" ht="12.95" customHeight="1" x14ac:dyDescent="0.2">
      <c r="F471" s="1"/>
    </row>
    <row r="472" spans="6:6" ht="12.95" customHeight="1" x14ac:dyDescent="0.2">
      <c r="F472" s="1"/>
    </row>
    <row r="473" spans="6:6" ht="12.95" customHeight="1" x14ac:dyDescent="0.2">
      <c r="F473" s="1"/>
    </row>
    <row r="474" spans="6:6" ht="12.95" customHeight="1" x14ac:dyDescent="0.2">
      <c r="F474" s="1"/>
    </row>
    <row r="475" spans="6:6" ht="12.95" customHeight="1" x14ac:dyDescent="0.2">
      <c r="F475" s="1"/>
    </row>
    <row r="476" spans="6:6" ht="12.95" customHeight="1" x14ac:dyDescent="0.2">
      <c r="F476" s="1"/>
    </row>
    <row r="477" spans="6:6" ht="12.95" customHeight="1" x14ac:dyDescent="0.2">
      <c r="F477" s="1"/>
    </row>
    <row r="478" spans="6:6" ht="12.95" customHeight="1" x14ac:dyDescent="0.2">
      <c r="F478" s="1"/>
    </row>
    <row r="479" spans="6:6" ht="12.95" customHeight="1" x14ac:dyDescent="0.2">
      <c r="F479" s="1"/>
    </row>
    <row r="480" spans="6:6" ht="12.95" customHeight="1" x14ac:dyDescent="0.2">
      <c r="F480" s="1"/>
    </row>
    <row r="481" spans="6:6" ht="12.95" customHeight="1" x14ac:dyDescent="0.2">
      <c r="F481" s="1"/>
    </row>
    <row r="482" spans="6:6" ht="12.95" customHeight="1" x14ac:dyDescent="0.2">
      <c r="F482" s="1"/>
    </row>
    <row r="483" spans="6:6" ht="12.95" customHeight="1" x14ac:dyDescent="0.2">
      <c r="F483" s="1"/>
    </row>
    <row r="484" spans="6:6" ht="12.95" customHeight="1" x14ac:dyDescent="0.2">
      <c r="F484" s="1"/>
    </row>
    <row r="485" spans="6:6" ht="12.95" customHeight="1" x14ac:dyDescent="0.2">
      <c r="F485" s="1"/>
    </row>
    <row r="486" spans="6:6" ht="12.95" customHeight="1" x14ac:dyDescent="0.2">
      <c r="F486" s="1"/>
    </row>
    <row r="487" spans="6:6" ht="12.95" customHeight="1" x14ac:dyDescent="0.2">
      <c r="F487" s="1"/>
    </row>
    <row r="488" spans="6:6" ht="12.95" customHeight="1" x14ac:dyDescent="0.2">
      <c r="F488" s="1"/>
    </row>
    <row r="489" spans="6:6" ht="12.95" customHeight="1" x14ac:dyDescent="0.2">
      <c r="F489" s="1"/>
    </row>
    <row r="490" spans="6:6" ht="12.95" customHeight="1" x14ac:dyDescent="0.2">
      <c r="F490" s="1"/>
    </row>
    <row r="491" spans="6:6" ht="12.95" customHeight="1" x14ac:dyDescent="0.2">
      <c r="F491" s="1"/>
    </row>
    <row r="492" spans="6:6" ht="12.95" customHeight="1" x14ac:dyDescent="0.2">
      <c r="F492" s="1"/>
    </row>
    <row r="493" spans="6:6" ht="12.95" customHeight="1" x14ac:dyDescent="0.2">
      <c r="F493" s="1"/>
    </row>
    <row r="494" spans="6:6" ht="12.95" customHeight="1" x14ac:dyDescent="0.2">
      <c r="F494" s="1"/>
    </row>
    <row r="495" spans="6:6" ht="12.95" customHeight="1" x14ac:dyDescent="0.2">
      <c r="F495" s="1"/>
    </row>
    <row r="496" spans="6:6" ht="12.95" customHeight="1" x14ac:dyDescent="0.2">
      <c r="F496" s="1"/>
    </row>
    <row r="497" spans="6:6" ht="12.95" customHeight="1" x14ac:dyDescent="0.2">
      <c r="F497" s="1"/>
    </row>
    <row r="498" spans="6:6" ht="12.95" customHeight="1" x14ac:dyDescent="0.2">
      <c r="F498" s="1"/>
    </row>
    <row r="499" spans="6:6" ht="12.95" customHeight="1" x14ac:dyDescent="0.2">
      <c r="F499" s="1"/>
    </row>
    <row r="500" spans="6:6" ht="12.95" customHeight="1" x14ac:dyDescent="0.2">
      <c r="F500" s="1"/>
    </row>
    <row r="501" spans="6:6" ht="12.95" customHeight="1" x14ac:dyDescent="0.2">
      <c r="F501" s="1"/>
    </row>
    <row r="502" spans="6:6" ht="12.95" customHeight="1" x14ac:dyDescent="0.2">
      <c r="F502" s="1"/>
    </row>
    <row r="503" spans="6:6" ht="12.95" customHeight="1" x14ac:dyDescent="0.2">
      <c r="F503" s="1"/>
    </row>
    <row r="504" spans="6:6" ht="12.95" customHeight="1" x14ac:dyDescent="0.2">
      <c r="F504" s="1"/>
    </row>
    <row r="505" spans="6:6" ht="12.95" customHeight="1" x14ac:dyDescent="0.2">
      <c r="F505" s="1"/>
    </row>
    <row r="506" spans="6:6" ht="12.95" customHeight="1" x14ac:dyDescent="0.2">
      <c r="F506" s="1"/>
    </row>
    <row r="507" spans="6:6" ht="12.95" customHeight="1" x14ac:dyDescent="0.2">
      <c r="F507" s="1"/>
    </row>
    <row r="508" spans="6:6" ht="12.95" customHeight="1" x14ac:dyDescent="0.2">
      <c r="F508" s="1"/>
    </row>
    <row r="509" spans="6:6" ht="12.95" customHeight="1" x14ac:dyDescent="0.2">
      <c r="F509" s="1"/>
    </row>
    <row r="510" spans="6:6" ht="12.95" customHeight="1" x14ac:dyDescent="0.2">
      <c r="F510" s="1"/>
    </row>
    <row r="511" spans="6:6" ht="12.95" customHeight="1" x14ac:dyDescent="0.2">
      <c r="F511" s="1"/>
    </row>
    <row r="512" spans="6:6" ht="12.95" customHeight="1" x14ac:dyDescent="0.2">
      <c r="F512" s="1"/>
    </row>
    <row r="513" spans="6:6" ht="12.95" customHeight="1" x14ac:dyDescent="0.2">
      <c r="F513" s="1"/>
    </row>
    <row r="514" spans="6:6" ht="12.95" customHeight="1" x14ac:dyDescent="0.2">
      <c r="F514" s="1"/>
    </row>
    <row r="515" spans="6:6" ht="12.95" customHeight="1" x14ac:dyDescent="0.2">
      <c r="F515" s="1"/>
    </row>
    <row r="516" spans="6:6" ht="12.95" customHeight="1" x14ac:dyDescent="0.2">
      <c r="F516" s="1"/>
    </row>
    <row r="517" spans="6:6" ht="12.95" customHeight="1" x14ac:dyDescent="0.2">
      <c r="F517" s="1"/>
    </row>
    <row r="518" spans="6:6" ht="12.95" customHeight="1" x14ac:dyDescent="0.2">
      <c r="F518" s="1"/>
    </row>
    <row r="519" spans="6:6" ht="12.95" customHeight="1" x14ac:dyDescent="0.2">
      <c r="F519" s="1"/>
    </row>
    <row r="520" spans="6:6" ht="12.95" customHeight="1" x14ac:dyDescent="0.2">
      <c r="F520" s="1"/>
    </row>
    <row r="521" spans="6:6" ht="12.95" customHeight="1" x14ac:dyDescent="0.2">
      <c r="F521" s="1"/>
    </row>
    <row r="522" spans="6:6" ht="12.95" customHeight="1" x14ac:dyDescent="0.2">
      <c r="F522" s="1"/>
    </row>
    <row r="523" spans="6:6" ht="12.95" customHeight="1" x14ac:dyDescent="0.2">
      <c r="F523" s="1"/>
    </row>
    <row r="524" spans="6:6" ht="12.95" customHeight="1" x14ac:dyDescent="0.2">
      <c r="F524" s="1"/>
    </row>
    <row r="525" spans="6:6" ht="12.95" customHeight="1" x14ac:dyDescent="0.2">
      <c r="F525" s="1"/>
    </row>
    <row r="526" spans="6:6" ht="12.95" customHeight="1" x14ac:dyDescent="0.2">
      <c r="F526" s="1"/>
    </row>
    <row r="527" spans="6:6" ht="12.95" customHeight="1" x14ac:dyDescent="0.2">
      <c r="F527" s="1"/>
    </row>
    <row r="528" spans="6:6" ht="12.95" customHeight="1" x14ac:dyDescent="0.2">
      <c r="F528" s="1"/>
    </row>
    <row r="529" spans="6:6" ht="12.95" customHeight="1" x14ac:dyDescent="0.2">
      <c r="F529" s="1"/>
    </row>
    <row r="530" spans="6:6" ht="12.95" customHeight="1" x14ac:dyDescent="0.2">
      <c r="F530" s="1"/>
    </row>
    <row r="531" spans="6:6" ht="12.95" customHeight="1" x14ac:dyDescent="0.2">
      <c r="F531" s="1"/>
    </row>
    <row r="532" spans="6:6" ht="12.95" customHeight="1" x14ac:dyDescent="0.2">
      <c r="F532" s="1"/>
    </row>
    <row r="533" spans="6:6" ht="12.95" customHeight="1" x14ac:dyDescent="0.2">
      <c r="F533" s="1"/>
    </row>
    <row r="534" spans="6:6" ht="12.95" customHeight="1" x14ac:dyDescent="0.2">
      <c r="F534" s="1"/>
    </row>
    <row r="535" spans="6:6" ht="12.95" customHeight="1" x14ac:dyDescent="0.2">
      <c r="F535" s="1"/>
    </row>
    <row r="536" spans="6:6" ht="12.95" customHeight="1" x14ac:dyDescent="0.2">
      <c r="F536" s="1"/>
    </row>
    <row r="537" spans="6:6" ht="12.95" customHeight="1" x14ac:dyDescent="0.2">
      <c r="F537" s="1"/>
    </row>
    <row r="538" spans="6:6" ht="12.95" customHeight="1" x14ac:dyDescent="0.2">
      <c r="F538" s="1"/>
    </row>
    <row r="539" spans="6:6" ht="12.95" customHeight="1" x14ac:dyDescent="0.2">
      <c r="F539" s="1"/>
    </row>
    <row r="540" spans="6:6" ht="12.95" customHeight="1" x14ac:dyDescent="0.2">
      <c r="F540" s="1"/>
    </row>
    <row r="541" spans="6:6" ht="12.95" customHeight="1" x14ac:dyDescent="0.2">
      <c r="F541" s="1"/>
    </row>
    <row r="542" spans="6:6" ht="12.95" customHeight="1" x14ac:dyDescent="0.2">
      <c r="F542" s="1"/>
    </row>
    <row r="543" spans="6:6" ht="12.95" customHeight="1" x14ac:dyDescent="0.2">
      <c r="F543" s="1"/>
    </row>
    <row r="544" spans="6:6" ht="12.95" customHeight="1" x14ac:dyDescent="0.2">
      <c r="F544" s="1"/>
    </row>
    <row r="545" spans="6:6" ht="12.95" customHeight="1" x14ac:dyDescent="0.2">
      <c r="F545" s="1"/>
    </row>
    <row r="546" spans="6:6" ht="12.95" customHeight="1" x14ac:dyDescent="0.2">
      <c r="F546" s="1"/>
    </row>
    <row r="547" spans="6:6" ht="12.95" customHeight="1" x14ac:dyDescent="0.2">
      <c r="F547" s="1"/>
    </row>
    <row r="548" spans="6:6" ht="12.95" customHeight="1" x14ac:dyDescent="0.2">
      <c r="F548" s="1"/>
    </row>
    <row r="549" spans="6:6" ht="12.95" customHeight="1" x14ac:dyDescent="0.2">
      <c r="F549" s="1"/>
    </row>
    <row r="550" spans="6:6" ht="12.95" customHeight="1" x14ac:dyDescent="0.2">
      <c r="F550" s="1"/>
    </row>
    <row r="551" spans="6:6" ht="12.95" customHeight="1" x14ac:dyDescent="0.2">
      <c r="F551" s="1"/>
    </row>
    <row r="552" spans="6:6" ht="12.95" customHeight="1" x14ac:dyDescent="0.2">
      <c r="F552" s="1"/>
    </row>
    <row r="553" spans="6:6" ht="12.95" customHeight="1" x14ac:dyDescent="0.2">
      <c r="F553" s="1"/>
    </row>
    <row r="554" spans="6:6" ht="12.95" customHeight="1" x14ac:dyDescent="0.2">
      <c r="F554" s="1"/>
    </row>
    <row r="555" spans="6:6" ht="12.95" customHeight="1" x14ac:dyDescent="0.2">
      <c r="F555" s="1"/>
    </row>
    <row r="556" spans="6:6" ht="12.95" customHeight="1" x14ac:dyDescent="0.2">
      <c r="F556" s="1"/>
    </row>
    <row r="557" spans="6:6" ht="12.95" customHeight="1" x14ac:dyDescent="0.2">
      <c r="F557" s="1"/>
    </row>
    <row r="558" spans="6:6" ht="12.95" customHeight="1" x14ac:dyDescent="0.2">
      <c r="F558" s="1"/>
    </row>
    <row r="559" spans="6:6" ht="12.95" customHeight="1" x14ac:dyDescent="0.2">
      <c r="F559" s="1"/>
    </row>
    <row r="560" spans="6:6" ht="12.95" customHeight="1" x14ac:dyDescent="0.2">
      <c r="F560" s="1"/>
    </row>
    <row r="561" spans="6:6" ht="12.95" customHeight="1" x14ac:dyDescent="0.2">
      <c r="F561" s="1"/>
    </row>
    <row r="562" spans="6:6" ht="12.95" customHeight="1" x14ac:dyDescent="0.2">
      <c r="F562" s="1"/>
    </row>
    <row r="563" spans="6:6" ht="12.95" customHeight="1" x14ac:dyDescent="0.2">
      <c r="F563" s="1"/>
    </row>
    <row r="564" spans="6:6" ht="12.95" customHeight="1" x14ac:dyDescent="0.2">
      <c r="F564" s="1"/>
    </row>
    <row r="565" spans="6:6" ht="12.95" customHeight="1" x14ac:dyDescent="0.2">
      <c r="F565" s="1"/>
    </row>
    <row r="566" spans="6:6" ht="12.95" customHeight="1" x14ac:dyDescent="0.2">
      <c r="F566" s="1"/>
    </row>
    <row r="567" spans="6:6" ht="12.95" customHeight="1" x14ac:dyDescent="0.2">
      <c r="F567" s="1"/>
    </row>
    <row r="568" spans="6:6" ht="12.95" customHeight="1" x14ac:dyDescent="0.2">
      <c r="F568" s="1"/>
    </row>
    <row r="569" spans="6:6" ht="12.95" customHeight="1" x14ac:dyDescent="0.2">
      <c r="F569" s="1"/>
    </row>
    <row r="570" spans="6:6" ht="12.95" customHeight="1" x14ac:dyDescent="0.2">
      <c r="F570" s="1"/>
    </row>
    <row r="571" spans="6:6" ht="12.95" customHeight="1" x14ac:dyDescent="0.2">
      <c r="F571" s="1"/>
    </row>
    <row r="572" spans="6:6" ht="12.95" customHeight="1" x14ac:dyDescent="0.2">
      <c r="F572" s="1"/>
    </row>
    <row r="573" spans="6:6" ht="12.95" customHeight="1" x14ac:dyDescent="0.2">
      <c r="F573" s="1"/>
    </row>
    <row r="574" spans="6:6" ht="12.95" customHeight="1" x14ac:dyDescent="0.2">
      <c r="F574" s="1"/>
    </row>
    <row r="575" spans="6:6" ht="12.95" customHeight="1" x14ac:dyDescent="0.2">
      <c r="F575" s="1"/>
    </row>
    <row r="576" spans="6:6" ht="12.95" customHeight="1" x14ac:dyDescent="0.2">
      <c r="F576" s="1"/>
    </row>
    <row r="577" spans="6:6" ht="12.95" customHeight="1" x14ac:dyDescent="0.2">
      <c r="F577" s="1"/>
    </row>
    <row r="578" spans="6:6" ht="12.95" customHeight="1" x14ac:dyDescent="0.2">
      <c r="F578" s="1"/>
    </row>
    <row r="579" spans="6:6" ht="12.95" customHeight="1" x14ac:dyDescent="0.2">
      <c r="F579" s="1"/>
    </row>
    <row r="580" spans="6:6" ht="12.95" customHeight="1" x14ac:dyDescent="0.2">
      <c r="F580" s="1"/>
    </row>
    <row r="581" spans="6:6" ht="12.95" customHeight="1" x14ac:dyDescent="0.2">
      <c r="F581" s="1"/>
    </row>
    <row r="582" spans="6:6" ht="12.95" customHeight="1" x14ac:dyDescent="0.2">
      <c r="F582" s="1"/>
    </row>
    <row r="583" spans="6:6" ht="12.95" customHeight="1" x14ac:dyDescent="0.2">
      <c r="F583" s="1"/>
    </row>
    <row r="584" spans="6:6" ht="12.95" customHeight="1" x14ac:dyDescent="0.2">
      <c r="F584" s="1"/>
    </row>
    <row r="585" spans="6:6" ht="12.95" customHeight="1" x14ac:dyDescent="0.2">
      <c r="F585" s="1"/>
    </row>
    <row r="586" spans="6:6" ht="12.95" customHeight="1" x14ac:dyDescent="0.2">
      <c r="F586" s="1"/>
    </row>
    <row r="587" spans="6:6" ht="12.95" customHeight="1" x14ac:dyDescent="0.2">
      <c r="F587" s="1"/>
    </row>
    <row r="588" spans="6:6" ht="12.95" customHeight="1" x14ac:dyDescent="0.2">
      <c r="F588" s="1"/>
    </row>
    <row r="589" spans="6:6" ht="12.95" customHeight="1" x14ac:dyDescent="0.2">
      <c r="F589" s="1"/>
    </row>
    <row r="590" spans="6:6" ht="12.95" customHeight="1" x14ac:dyDescent="0.2">
      <c r="F590" s="1"/>
    </row>
    <row r="591" spans="6:6" ht="12.95" customHeight="1" x14ac:dyDescent="0.2">
      <c r="F591" s="1"/>
    </row>
    <row r="592" spans="6:6" ht="12.95" customHeight="1" x14ac:dyDescent="0.2">
      <c r="F592" s="1"/>
    </row>
    <row r="593" spans="6:6" ht="12.95" customHeight="1" x14ac:dyDescent="0.2">
      <c r="F593" s="1"/>
    </row>
    <row r="594" spans="6:6" ht="12.95" customHeight="1" x14ac:dyDescent="0.2">
      <c r="F594" s="1"/>
    </row>
    <row r="595" spans="6:6" ht="12.95" customHeight="1" x14ac:dyDescent="0.2">
      <c r="F595" s="1"/>
    </row>
    <row r="596" spans="6:6" ht="12.95" customHeight="1" x14ac:dyDescent="0.2">
      <c r="F596" s="1"/>
    </row>
    <row r="597" spans="6:6" ht="12.95" customHeight="1" x14ac:dyDescent="0.2">
      <c r="F597" s="1"/>
    </row>
    <row r="598" spans="6:6" ht="12.95" customHeight="1" x14ac:dyDescent="0.2">
      <c r="F598" s="1"/>
    </row>
    <row r="599" spans="6:6" ht="12.95" customHeight="1" x14ac:dyDescent="0.2">
      <c r="F599" s="1"/>
    </row>
    <row r="600" spans="6:6" ht="12.95" customHeight="1" x14ac:dyDescent="0.2">
      <c r="F600" s="1"/>
    </row>
    <row r="601" spans="6:6" ht="12.95" customHeight="1" x14ac:dyDescent="0.2">
      <c r="F601" s="1"/>
    </row>
    <row r="602" spans="6:6" ht="12.95" customHeight="1" x14ac:dyDescent="0.2">
      <c r="F6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6"/>
  <sheetViews>
    <sheetView topLeftCell="A78" zoomScale="162" zoomScaleNormal="220" workbookViewId="0">
      <selection activeCell="E14" sqref="E14"/>
    </sheetView>
  </sheetViews>
  <sheetFormatPr defaultColWidth="12.42578125" defaultRowHeight="15.75" customHeight="1" x14ac:dyDescent="0.2"/>
  <cols>
    <col min="3" max="3" width="12.42578125" style="7" customWidth="1"/>
    <col min="4" max="4" width="12.85546875" customWidth="1"/>
    <col min="5" max="5" width="13.42578125" style="7" customWidth="1"/>
  </cols>
  <sheetData>
    <row r="1" spans="1:5" ht="15.75" customHeight="1" x14ac:dyDescent="0.2">
      <c r="A1" s="1" t="s">
        <v>309</v>
      </c>
      <c r="B1" s="1" t="s">
        <v>310</v>
      </c>
      <c r="C1" s="8" t="s">
        <v>311</v>
      </c>
      <c r="D1" s="1" t="s">
        <v>7</v>
      </c>
      <c r="E1" s="8" t="s">
        <v>312</v>
      </c>
    </row>
    <row r="2" spans="1:5" ht="15.75" customHeight="1" x14ac:dyDescent="0.2">
      <c r="A2" t="s">
        <v>10</v>
      </c>
      <c r="B2" t="s">
        <v>11</v>
      </c>
      <c r="C2" s="7">
        <f>Inventory!E2*1.3</f>
        <v>4875</v>
      </c>
      <c r="D2" s="1">
        <v>2</v>
      </c>
      <c r="E2" s="8">
        <f t="shared" ref="E2:E33" si="0">C2 * D2</f>
        <v>9750</v>
      </c>
    </row>
    <row r="3" spans="1:5" ht="15.75" customHeight="1" x14ac:dyDescent="0.2">
      <c r="A3" t="s">
        <v>10</v>
      </c>
      <c r="B3" t="s">
        <v>14</v>
      </c>
      <c r="C3" s="7">
        <f>Inventory!E3*1.3</f>
        <v>6175</v>
      </c>
      <c r="D3" s="1">
        <v>4</v>
      </c>
      <c r="E3" s="8">
        <f t="shared" si="0"/>
        <v>24700</v>
      </c>
    </row>
    <row r="4" spans="1:5" ht="15.75" customHeight="1" x14ac:dyDescent="0.2">
      <c r="A4" t="s">
        <v>10</v>
      </c>
      <c r="B4" t="s">
        <v>16</v>
      </c>
      <c r="C4" s="7">
        <f>Inventory!E4*1.3</f>
        <v>7475</v>
      </c>
      <c r="D4" s="1">
        <v>2</v>
      </c>
      <c r="E4" s="8">
        <f t="shared" si="0"/>
        <v>14950</v>
      </c>
    </row>
    <row r="5" spans="1:5" ht="15.75" customHeight="1" x14ac:dyDescent="0.2">
      <c r="A5" t="s">
        <v>10</v>
      </c>
      <c r="B5" t="s">
        <v>18</v>
      </c>
      <c r="C5" s="7">
        <f>Inventory!E5*1.3</f>
        <v>9425</v>
      </c>
      <c r="D5" s="1">
        <v>0</v>
      </c>
      <c r="E5" s="8">
        <f t="shared" si="0"/>
        <v>0</v>
      </c>
    </row>
    <row r="6" spans="1:5" ht="15.75" customHeight="1" x14ac:dyDescent="0.2">
      <c r="A6" t="s">
        <v>10</v>
      </c>
      <c r="B6" t="s">
        <v>20</v>
      </c>
      <c r="C6" s="7">
        <f>Inventory!E6*1.3</f>
        <v>2925</v>
      </c>
      <c r="D6" s="1">
        <v>0</v>
      </c>
      <c r="E6" s="8">
        <f t="shared" si="0"/>
        <v>0</v>
      </c>
    </row>
    <row r="7" spans="1:5" ht="15.75" customHeight="1" x14ac:dyDescent="0.2">
      <c r="A7" t="s">
        <v>10</v>
      </c>
      <c r="B7" t="s">
        <v>22</v>
      </c>
      <c r="C7" s="7">
        <f>Inventory!E7*1.3</f>
        <v>3575</v>
      </c>
      <c r="D7" s="1">
        <v>2</v>
      </c>
      <c r="E7" s="8">
        <f t="shared" si="0"/>
        <v>7150</v>
      </c>
    </row>
    <row r="8" spans="1:5" ht="15.75" customHeight="1" x14ac:dyDescent="0.2">
      <c r="A8" t="s">
        <v>10</v>
      </c>
      <c r="B8" t="s">
        <v>24</v>
      </c>
      <c r="C8" s="7">
        <f>Inventory!E8*1.3</f>
        <v>2925</v>
      </c>
      <c r="D8" s="1">
        <v>0</v>
      </c>
      <c r="E8" s="8">
        <f t="shared" si="0"/>
        <v>0</v>
      </c>
    </row>
    <row r="9" spans="1:5" ht="15.75" customHeight="1" x14ac:dyDescent="0.2">
      <c r="A9" t="s">
        <v>10</v>
      </c>
      <c r="B9" t="s">
        <v>26</v>
      </c>
      <c r="C9" s="7">
        <f>Inventory!E9*1.3</f>
        <v>3575</v>
      </c>
      <c r="D9" s="1">
        <v>3</v>
      </c>
      <c r="E9" s="8">
        <f t="shared" si="0"/>
        <v>10725</v>
      </c>
    </row>
    <row r="10" spans="1:5" ht="15.75" customHeight="1" x14ac:dyDescent="0.2">
      <c r="A10" t="s">
        <v>10</v>
      </c>
      <c r="B10" t="s">
        <v>28</v>
      </c>
      <c r="C10" s="7">
        <f>Inventory!E10*1.3</f>
        <v>10400</v>
      </c>
      <c r="D10" s="1">
        <v>9</v>
      </c>
      <c r="E10" s="8">
        <f t="shared" si="0"/>
        <v>93600</v>
      </c>
    </row>
    <row r="11" spans="1:5" ht="15.75" customHeight="1" x14ac:dyDescent="0.2">
      <c r="A11" t="s">
        <v>10</v>
      </c>
      <c r="B11" t="s">
        <v>11</v>
      </c>
      <c r="C11" s="7">
        <f>Inventory!E11*1.3</f>
        <v>11050</v>
      </c>
      <c r="D11" s="1">
        <v>1</v>
      </c>
      <c r="E11" s="8">
        <f t="shared" si="0"/>
        <v>11050</v>
      </c>
    </row>
    <row r="12" spans="1:5" ht="15.75" customHeight="1" x14ac:dyDescent="0.2">
      <c r="A12" t="s">
        <v>30</v>
      </c>
      <c r="B12" t="s">
        <v>31</v>
      </c>
      <c r="C12" s="7">
        <f>Inventory!E12*1.3</f>
        <v>2600</v>
      </c>
      <c r="D12" s="1">
        <v>0</v>
      </c>
      <c r="E12" s="8">
        <f t="shared" si="0"/>
        <v>0</v>
      </c>
    </row>
    <row r="13" spans="1:5" ht="15.75" customHeight="1" x14ac:dyDescent="0.2">
      <c r="A13" t="s">
        <v>30</v>
      </c>
      <c r="B13" t="s">
        <v>34</v>
      </c>
      <c r="C13" s="7">
        <f>Inventory!E13*1.3</f>
        <v>3250</v>
      </c>
      <c r="D13" s="1">
        <v>0</v>
      </c>
      <c r="E13" s="8">
        <f t="shared" si="0"/>
        <v>0</v>
      </c>
    </row>
    <row r="14" spans="1:5" ht="15.75" customHeight="1" x14ac:dyDescent="0.2">
      <c r="A14" t="s">
        <v>30</v>
      </c>
      <c r="B14" t="s">
        <v>37</v>
      </c>
      <c r="C14" s="7">
        <f>Inventory!E14*1.3</f>
        <v>3900</v>
      </c>
      <c r="D14" s="1">
        <v>0</v>
      </c>
      <c r="E14" s="8">
        <f t="shared" si="0"/>
        <v>0</v>
      </c>
    </row>
    <row r="15" spans="1:5" ht="15.75" customHeight="1" x14ac:dyDescent="0.2">
      <c r="A15" t="s">
        <v>30</v>
      </c>
      <c r="B15" t="s">
        <v>40</v>
      </c>
      <c r="C15" s="7">
        <f>Inventory!E15*1.3</f>
        <v>5200</v>
      </c>
      <c r="D15" s="1">
        <v>0</v>
      </c>
      <c r="E15" s="8">
        <f t="shared" si="0"/>
        <v>0</v>
      </c>
    </row>
    <row r="16" spans="1:5" ht="15.75" customHeight="1" x14ac:dyDescent="0.2">
      <c r="A16" t="s">
        <v>30</v>
      </c>
      <c r="B16" t="s">
        <v>43</v>
      </c>
      <c r="C16" s="7">
        <f>Inventory!E16*1.3</f>
        <v>5850</v>
      </c>
      <c r="D16" s="1">
        <v>0</v>
      </c>
      <c r="E16" s="8">
        <f t="shared" si="0"/>
        <v>0</v>
      </c>
    </row>
    <row r="17" spans="1:5" ht="15.75" customHeight="1" x14ac:dyDescent="0.2">
      <c r="A17" t="s">
        <v>30</v>
      </c>
      <c r="B17" t="s">
        <v>46</v>
      </c>
      <c r="C17" s="7">
        <f>Inventory!E17*1.3</f>
        <v>7800</v>
      </c>
      <c r="D17" s="1">
        <v>0</v>
      </c>
      <c r="E17" s="8">
        <f t="shared" si="0"/>
        <v>0</v>
      </c>
    </row>
    <row r="18" spans="1:5" ht="15.75" customHeight="1" x14ac:dyDescent="0.2">
      <c r="A18" t="s">
        <v>30</v>
      </c>
      <c r="B18" t="s">
        <v>49</v>
      </c>
      <c r="C18" s="7">
        <f>Inventory!E18*1.3</f>
        <v>9100</v>
      </c>
      <c r="D18" s="1">
        <v>0</v>
      </c>
      <c r="E18" s="8">
        <f t="shared" si="0"/>
        <v>0</v>
      </c>
    </row>
    <row r="19" spans="1:5" ht="15.75" customHeight="1" x14ac:dyDescent="0.2">
      <c r="A19" t="s">
        <v>30</v>
      </c>
      <c r="B19" t="s">
        <v>52</v>
      </c>
      <c r="C19" s="7">
        <f>Inventory!E19*1.3</f>
        <v>11050</v>
      </c>
      <c r="D19" s="1">
        <v>0</v>
      </c>
      <c r="E19" s="8">
        <f t="shared" si="0"/>
        <v>0</v>
      </c>
    </row>
    <row r="20" spans="1:5" ht="15.75" customHeight="1" x14ac:dyDescent="0.2">
      <c r="A20" t="s">
        <v>30</v>
      </c>
      <c r="B20" t="s">
        <v>55</v>
      </c>
      <c r="C20" s="7">
        <f>Inventory!E20*1.3</f>
        <v>8450</v>
      </c>
      <c r="D20" s="1">
        <v>0</v>
      </c>
      <c r="E20" s="8">
        <f t="shared" si="0"/>
        <v>0</v>
      </c>
    </row>
    <row r="21" spans="1:5" ht="15.75" customHeight="1" x14ac:dyDescent="0.2">
      <c r="A21" t="s">
        <v>30</v>
      </c>
      <c r="B21" t="s">
        <v>58</v>
      </c>
      <c r="C21" s="7">
        <f>Inventory!E21*1.3</f>
        <v>9750</v>
      </c>
      <c r="D21" s="1">
        <v>0</v>
      </c>
      <c r="E21" s="8">
        <f t="shared" si="0"/>
        <v>0</v>
      </c>
    </row>
    <row r="22" spans="1:5" ht="15.75" customHeight="1" x14ac:dyDescent="0.2">
      <c r="A22" t="s">
        <v>61</v>
      </c>
      <c r="B22" t="s">
        <v>62</v>
      </c>
      <c r="C22" s="7">
        <f>Inventory!E22*1.3</f>
        <v>3900</v>
      </c>
      <c r="D22" s="1">
        <v>0</v>
      </c>
      <c r="E22" s="8">
        <f t="shared" si="0"/>
        <v>0</v>
      </c>
    </row>
    <row r="23" spans="1:5" ht="15.75" customHeight="1" x14ac:dyDescent="0.2">
      <c r="A23" t="s">
        <v>61</v>
      </c>
      <c r="B23" t="s">
        <v>65</v>
      </c>
      <c r="C23" s="7">
        <f>Inventory!E23*1.3</f>
        <v>4550</v>
      </c>
      <c r="D23" s="1">
        <v>1</v>
      </c>
      <c r="E23" s="8">
        <f t="shared" si="0"/>
        <v>4550</v>
      </c>
    </row>
    <row r="24" spans="1:5" ht="15.75" customHeight="1" x14ac:dyDescent="0.2">
      <c r="A24" t="s">
        <v>61</v>
      </c>
      <c r="B24" t="s">
        <v>68</v>
      </c>
      <c r="C24" s="7">
        <f>Inventory!E24*1.3</f>
        <v>5525</v>
      </c>
      <c r="D24" s="1">
        <v>2</v>
      </c>
      <c r="E24" s="8">
        <f t="shared" si="0"/>
        <v>11050</v>
      </c>
    </row>
    <row r="25" spans="1:5" ht="15.75" customHeight="1" x14ac:dyDescent="0.2">
      <c r="A25" t="s">
        <v>61</v>
      </c>
      <c r="B25" t="s">
        <v>71</v>
      </c>
      <c r="C25" s="7">
        <f>Inventory!E25*1.3</f>
        <v>6825</v>
      </c>
      <c r="D25" s="1">
        <v>4</v>
      </c>
      <c r="E25" s="8">
        <f t="shared" si="0"/>
        <v>27300</v>
      </c>
    </row>
    <row r="26" spans="1:5" ht="15.75" customHeight="1" x14ac:dyDescent="0.2">
      <c r="A26" t="s">
        <v>61</v>
      </c>
      <c r="B26" t="s">
        <v>74</v>
      </c>
      <c r="C26" s="7">
        <f>Inventory!E26*1.3</f>
        <v>9100</v>
      </c>
      <c r="D26" s="1">
        <v>5</v>
      </c>
      <c r="E26" s="8">
        <f t="shared" si="0"/>
        <v>45500</v>
      </c>
    </row>
    <row r="27" spans="1:5" ht="15.75" customHeight="1" x14ac:dyDescent="0.2">
      <c r="A27" t="s">
        <v>61</v>
      </c>
      <c r="B27" t="s">
        <v>77</v>
      </c>
      <c r="C27" s="7">
        <f>Inventory!E27*1.3</f>
        <v>13000</v>
      </c>
      <c r="D27" s="1">
        <v>4</v>
      </c>
      <c r="E27" s="8">
        <f t="shared" si="0"/>
        <v>52000</v>
      </c>
    </row>
    <row r="28" spans="1:5" ht="15.75" customHeight="1" x14ac:dyDescent="0.2">
      <c r="A28" t="s">
        <v>61</v>
      </c>
      <c r="B28" t="s">
        <v>80</v>
      </c>
      <c r="C28" s="7">
        <f>Inventory!E28*1.3</f>
        <v>11050</v>
      </c>
      <c r="D28" s="1">
        <v>0</v>
      </c>
      <c r="E28" s="8">
        <f t="shared" si="0"/>
        <v>0</v>
      </c>
    </row>
    <row r="29" spans="1:5" ht="15.75" customHeight="1" x14ac:dyDescent="0.2">
      <c r="A29" t="s">
        <v>61</v>
      </c>
      <c r="B29" t="s">
        <v>83</v>
      </c>
      <c r="C29" s="7">
        <f>Inventory!E29*1.3</f>
        <v>22750</v>
      </c>
      <c r="D29" s="1">
        <v>0</v>
      </c>
      <c r="E29" s="8">
        <f t="shared" si="0"/>
        <v>0</v>
      </c>
    </row>
    <row r="30" spans="1:5" ht="15.75" customHeight="1" x14ac:dyDescent="0.2">
      <c r="A30" t="s">
        <v>61</v>
      </c>
      <c r="B30" t="s">
        <v>86</v>
      </c>
      <c r="C30" s="7">
        <f>Inventory!E30*1.3</f>
        <v>2860</v>
      </c>
      <c r="D30" s="1">
        <v>0</v>
      </c>
      <c r="E30" s="8">
        <f t="shared" si="0"/>
        <v>0</v>
      </c>
    </row>
    <row r="31" spans="1:5" ht="15.75" customHeight="1" x14ac:dyDescent="0.2">
      <c r="A31" t="s">
        <v>61</v>
      </c>
      <c r="B31" t="s">
        <v>89</v>
      </c>
      <c r="C31" s="7">
        <f>Inventory!E31*1.3</f>
        <v>3120</v>
      </c>
      <c r="D31" s="1">
        <v>0</v>
      </c>
      <c r="E31" s="8">
        <f t="shared" si="0"/>
        <v>0</v>
      </c>
    </row>
    <row r="32" spans="1:5" ht="15.75" customHeight="1" x14ac:dyDescent="0.2">
      <c r="A32" t="s">
        <v>92</v>
      </c>
      <c r="B32" t="s">
        <v>93</v>
      </c>
      <c r="C32" s="7">
        <f>Inventory!E32*1.3</f>
        <v>1950</v>
      </c>
      <c r="D32" s="1">
        <v>0</v>
      </c>
      <c r="E32" s="8">
        <f t="shared" si="0"/>
        <v>0</v>
      </c>
    </row>
    <row r="33" spans="1:5" ht="15.75" customHeight="1" x14ac:dyDescent="0.2">
      <c r="A33" t="s">
        <v>92</v>
      </c>
      <c r="B33" t="s">
        <v>96</v>
      </c>
      <c r="C33" s="7">
        <f>Inventory!E33*1.3</f>
        <v>2600</v>
      </c>
      <c r="D33" s="1">
        <v>0</v>
      </c>
      <c r="E33" s="8">
        <f t="shared" si="0"/>
        <v>0</v>
      </c>
    </row>
    <row r="34" spans="1:5" ht="15.75" customHeight="1" x14ac:dyDescent="0.2">
      <c r="A34" t="s">
        <v>92</v>
      </c>
      <c r="B34" t="s">
        <v>99</v>
      </c>
      <c r="C34" s="7">
        <f>Inventory!E34*1.3</f>
        <v>2990</v>
      </c>
      <c r="D34" s="1">
        <v>0</v>
      </c>
      <c r="E34" s="8">
        <f t="shared" ref="E34:E65" si="1">C34 * D34</f>
        <v>0</v>
      </c>
    </row>
    <row r="35" spans="1:5" ht="15.75" customHeight="1" x14ac:dyDescent="0.2">
      <c r="A35" t="s">
        <v>92</v>
      </c>
      <c r="B35" t="s">
        <v>102</v>
      </c>
      <c r="C35" s="7">
        <f>Inventory!E35*1.3</f>
        <v>3900</v>
      </c>
      <c r="D35" s="1">
        <v>0</v>
      </c>
      <c r="E35" s="8">
        <f t="shared" si="1"/>
        <v>0</v>
      </c>
    </row>
    <row r="36" spans="1:5" ht="15.75" customHeight="1" x14ac:dyDescent="0.2">
      <c r="A36" t="s">
        <v>92</v>
      </c>
      <c r="B36" t="s">
        <v>105</v>
      </c>
      <c r="C36" s="7">
        <f>Inventory!E36*1.3</f>
        <v>4550</v>
      </c>
      <c r="D36" s="1">
        <v>0</v>
      </c>
      <c r="E36" s="8">
        <f t="shared" si="1"/>
        <v>0</v>
      </c>
    </row>
    <row r="37" spans="1:5" ht="15.75" customHeight="1" x14ac:dyDescent="0.2">
      <c r="A37" t="s">
        <v>92</v>
      </c>
      <c r="B37" t="s">
        <v>108</v>
      </c>
      <c r="C37" s="7">
        <f>Inventory!E37*1.3</f>
        <v>5850</v>
      </c>
      <c r="D37" s="1">
        <v>0</v>
      </c>
      <c r="E37" s="8">
        <f t="shared" si="1"/>
        <v>0</v>
      </c>
    </row>
    <row r="38" spans="1:5" ht="15.75" customHeight="1" x14ac:dyDescent="0.2">
      <c r="A38" t="s">
        <v>92</v>
      </c>
      <c r="B38" t="s">
        <v>111</v>
      </c>
      <c r="C38" s="7">
        <f>Inventory!E38*1.3</f>
        <v>1950</v>
      </c>
      <c r="D38" s="1">
        <v>0</v>
      </c>
      <c r="E38" s="8">
        <f t="shared" si="1"/>
        <v>0</v>
      </c>
    </row>
    <row r="39" spans="1:5" ht="15.75" customHeight="1" x14ac:dyDescent="0.2">
      <c r="A39" t="s">
        <v>92</v>
      </c>
      <c r="B39" t="s">
        <v>114</v>
      </c>
      <c r="C39" s="7">
        <f>Inventory!E39*1.3</f>
        <v>2600</v>
      </c>
      <c r="D39" s="1">
        <v>0</v>
      </c>
      <c r="E39" s="8">
        <f t="shared" si="1"/>
        <v>0</v>
      </c>
    </row>
    <row r="40" spans="1:5" ht="15.75" customHeight="1" x14ac:dyDescent="0.2">
      <c r="A40" t="s">
        <v>92</v>
      </c>
      <c r="B40" t="s">
        <v>117</v>
      </c>
      <c r="C40" s="7">
        <f>Inventory!E40*1.3</f>
        <v>5525</v>
      </c>
      <c r="D40" s="1">
        <v>0</v>
      </c>
      <c r="E40" s="8">
        <f t="shared" si="1"/>
        <v>0</v>
      </c>
    </row>
    <row r="41" spans="1:5" ht="15.75" customHeight="1" x14ac:dyDescent="0.2">
      <c r="A41" t="s">
        <v>92</v>
      </c>
      <c r="B41" t="s">
        <v>120</v>
      </c>
      <c r="C41" s="7">
        <f>Inventory!E41*1.3</f>
        <v>5850</v>
      </c>
      <c r="D41" s="1">
        <v>0</v>
      </c>
      <c r="E41" s="8">
        <f t="shared" si="1"/>
        <v>0</v>
      </c>
    </row>
    <row r="42" spans="1:5" ht="15.75" customHeight="1" x14ac:dyDescent="0.2">
      <c r="A42" t="s">
        <v>123</v>
      </c>
      <c r="B42" t="s">
        <v>124</v>
      </c>
      <c r="C42" s="7">
        <f>Inventory!E42*1.3</f>
        <v>1560</v>
      </c>
      <c r="D42" s="1">
        <v>0</v>
      </c>
      <c r="E42" s="8">
        <f t="shared" si="1"/>
        <v>0</v>
      </c>
    </row>
    <row r="43" spans="1:5" ht="15.75" customHeight="1" x14ac:dyDescent="0.2">
      <c r="A43" t="s">
        <v>123</v>
      </c>
      <c r="B43" t="s">
        <v>127</v>
      </c>
      <c r="C43" s="7">
        <f>Inventory!E43*1.3</f>
        <v>1950</v>
      </c>
      <c r="D43" s="1">
        <v>0</v>
      </c>
      <c r="E43" s="8">
        <f t="shared" si="1"/>
        <v>0</v>
      </c>
    </row>
    <row r="44" spans="1:5" ht="15.75" customHeight="1" x14ac:dyDescent="0.2">
      <c r="A44" t="s">
        <v>123</v>
      </c>
      <c r="B44" t="s">
        <v>130</v>
      </c>
      <c r="C44" s="7">
        <f>Inventory!E44*1.3</f>
        <v>2600</v>
      </c>
      <c r="D44" s="1">
        <v>0</v>
      </c>
      <c r="E44" s="8">
        <f t="shared" si="1"/>
        <v>0</v>
      </c>
    </row>
    <row r="45" spans="1:5" ht="12.95" customHeight="1" x14ac:dyDescent="0.2">
      <c r="A45" t="s">
        <v>123</v>
      </c>
      <c r="B45" t="s">
        <v>133</v>
      </c>
      <c r="C45" s="7">
        <f>Inventory!E45*1.3</f>
        <v>3250</v>
      </c>
      <c r="D45" s="1">
        <v>0</v>
      </c>
      <c r="E45" s="8">
        <f t="shared" si="1"/>
        <v>0</v>
      </c>
    </row>
    <row r="46" spans="1:5" ht="12.95" customHeight="1" x14ac:dyDescent="0.2">
      <c r="A46" t="s">
        <v>123</v>
      </c>
      <c r="B46" t="s">
        <v>136</v>
      </c>
      <c r="C46" s="7">
        <f>Inventory!E46*1.3</f>
        <v>4550</v>
      </c>
      <c r="D46" s="1">
        <v>0</v>
      </c>
      <c r="E46" s="8">
        <f t="shared" si="1"/>
        <v>0</v>
      </c>
    </row>
    <row r="47" spans="1:5" ht="12.95" customHeight="1" x14ac:dyDescent="0.2">
      <c r="A47" t="s">
        <v>123</v>
      </c>
      <c r="B47" t="s">
        <v>139</v>
      </c>
      <c r="C47" s="7">
        <f>Inventory!E47*1.3</f>
        <v>3900</v>
      </c>
      <c r="D47" s="1">
        <v>0</v>
      </c>
      <c r="E47" s="8">
        <f t="shared" si="1"/>
        <v>0</v>
      </c>
    </row>
    <row r="48" spans="1:5" ht="12.95" customHeight="1" x14ac:dyDescent="0.2">
      <c r="A48" t="s">
        <v>123</v>
      </c>
      <c r="B48" t="s">
        <v>142</v>
      </c>
      <c r="C48" s="7">
        <f>Inventory!E48*1.3</f>
        <v>2340</v>
      </c>
      <c r="D48" s="1">
        <v>0</v>
      </c>
      <c r="E48" s="8">
        <f t="shared" si="1"/>
        <v>0</v>
      </c>
    </row>
    <row r="49" spans="1:5" ht="12.95" customHeight="1" x14ac:dyDescent="0.2">
      <c r="A49" t="s">
        <v>123</v>
      </c>
      <c r="B49" t="s">
        <v>145</v>
      </c>
      <c r="C49" s="7">
        <f>Inventory!E49*1.3</f>
        <v>2860</v>
      </c>
      <c r="D49" s="1">
        <v>0</v>
      </c>
      <c r="E49" s="8">
        <f t="shared" si="1"/>
        <v>0</v>
      </c>
    </row>
    <row r="50" spans="1:5" ht="12.95" customHeight="1" x14ac:dyDescent="0.2">
      <c r="A50" t="s">
        <v>123</v>
      </c>
      <c r="B50" t="s">
        <v>148</v>
      </c>
      <c r="C50" s="7">
        <f>Inventory!E50*1.3</f>
        <v>3640</v>
      </c>
      <c r="D50" s="1">
        <v>0</v>
      </c>
      <c r="E50" s="8">
        <f t="shared" si="1"/>
        <v>0</v>
      </c>
    </row>
    <row r="51" spans="1:5" ht="12.95" customHeight="1" x14ac:dyDescent="0.2">
      <c r="A51" t="s">
        <v>123</v>
      </c>
      <c r="B51" t="s">
        <v>151</v>
      </c>
      <c r="C51" s="7">
        <f>Inventory!E51*1.3</f>
        <v>1950</v>
      </c>
      <c r="D51" s="1">
        <v>0</v>
      </c>
      <c r="E51" s="8">
        <f t="shared" si="1"/>
        <v>0</v>
      </c>
    </row>
    <row r="52" spans="1:5" ht="12.95" customHeight="1" x14ac:dyDescent="0.2">
      <c r="A52" t="s">
        <v>154</v>
      </c>
      <c r="B52" t="s">
        <v>155</v>
      </c>
      <c r="C52" s="7">
        <f>Inventory!E52*1.3</f>
        <v>2340</v>
      </c>
      <c r="D52" s="1">
        <v>0</v>
      </c>
      <c r="E52" s="8">
        <f t="shared" si="1"/>
        <v>0</v>
      </c>
    </row>
    <row r="53" spans="1:5" ht="12.95" customHeight="1" x14ac:dyDescent="0.2">
      <c r="A53" t="s">
        <v>154</v>
      </c>
      <c r="B53" t="s">
        <v>158</v>
      </c>
      <c r="C53" s="7">
        <f>Inventory!E53*1.3</f>
        <v>2860</v>
      </c>
      <c r="D53" s="1">
        <v>3</v>
      </c>
      <c r="E53" s="8">
        <f t="shared" si="1"/>
        <v>8580</v>
      </c>
    </row>
    <row r="54" spans="1:5" ht="12.95" customHeight="1" x14ac:dyDescent="0.2">
      <c r="A54" t="s">
        <v>154</v>
      </c>
      <c r="B54" t="s">
        <v>161</v>
      </c>
      <c r="C54" s="7">
        <f>Inventory!E54*1.3</f>
        <v>1950</v>
      </c>
      <c r="D54" s="1">
        <v>1</v>
      </c>
      <c r="E54" s="8">
        <f t="shared" si="1"/>
        <v>1950</v>
      </c>
    </row>
    <row r="55" spans="1:5" ht="12.95" customHeight="1" x14ac:dyDescent="0.2">
      <c r="A55" t="s">
        <v>154</v>
      </c>
      <c r="B55" t="s">
        <v>164</v>
      </c>
      <c r="C55" s="7">
        <f>Inventory!E55*1.3</f>
        <v>2340</v>
      </c>
      <c r="D55" s="1">
        <v>0</v>
      </c>
      <c r="E55" s="8">
        <f t="shared" si="1"/>
        <v>0</v>
      </c>
    </row>
    <row r="56" spans="1:5" ht="12.95" customHeight="1" x14ac:dyDescent="0.2">
      <c r="A56" t="s">
        <v>154</v>
      </c>
      <c r="B56" t="s">
        <v>167</v>
      </c>
      <c r="C56" s="7">
        <f>Inventory!E56*1.3</f>
        <v>2600</v>
      </c>
      <c r="D56" s="1">
        <v>1</v>
      </c>
      <c r="E56" s="8">
        <f t="shared" si="1"/>
        <v>2600</v>
      </c>
    </row>
    <row r="57" spans="1:5" ht="12.95" customHeight="1" x14ac:dyDescent="0.2">
      <c r="A57" t="s">
        <v>154</v>
      </c>
      <c r="B57" t="s">
        <v>170</v>
      </c>
      <c r="C57" s="7">
        <f>Inventory!E57*1.3</f>
        <v>3250</v>
      </c>
      <c r="D57" s="1">
        <v>0</v>
      </c>
      <c r="E57" s="8">
        <f t="shared" si="1"/>
        <v>0</v>
      </c>
    </row>
    <row r="58" spans="1:5" ht="12.95" customHeight="1" x14ac:dyDescent="0.2">
      <c r="A58" t="s">
        <v>154</v>
      </c>
      <c r="B58" t="s">
        <v>173</v>
      </c>
      <c r="C58" s="7">
        <f>Inventory!E58*1.3</f>
        <v>2600</v>
      </c>
      <c r="D58" s="1">
        <v>0</v>
      </c>
      <c r="E58" s="8">
        <f t="shared" si="1"/>
        <v>0</v>
      </c>
    </row>
    <row r="59" spans="1:5" ht="12.95" customHeight="1" x14ac:dyDescent="0.2">
      <c r="A59" t="s">
        <v>154</v>
      </c>
      <c r="B59" t="s">
        <v>176</v>
      </c>
      <c r="C59" s="7">
        <f>Inventory!E59*1.3</f>
        <v>3250</v>
      </c>
      <c r="D59" s="1">
        <v>0</v>
      </c>
      <c r="E59" s="8">
        <f t="shared" si="1"/>
        <v>0</v>
      </c>
    </row>
    <row r="60" spans="1:5" ht="12.95" customHeight="1" x14ac:dyDescent="0.2">
      <c r="A60" t="s">
        <v>154</v>
      </c>
      <c r="B60" t="s">
        <v>179</v>
      </c>
      <c r="C60" s="7">
        <f>Inventory!E60*1.3</f>
        <v>1950</v>
      </c>
      <c r="D60" s="1">
        <v>0</v>
      </c>
      <c r="E60" s="8">
        <f t="shared" si="1"/>
        <v>0</v>
      </c>
    </row>
    <row r="61" spans="1:5" ht="12.95" customHeight="1" x14ac:dyDescent="0.2">
      <c r="A61" t="s">
        <v>154</v>
      </c>
      <c r="B61" t="s">
        <v>182</v>
      </c>
      <c r="C61" s="7">
        <f>Inventory!E61*1.3</f>
        <v>2340</v>
      </c>
      <c r="D61" s="1">
        <v>2</v>
      </c>
      <c r="E61" s="8">
        <f t="shared" si="1"/>
        <v>4680</v>
      </c>
    </row>
    <row r="62" spans="1:5" ht="12.95" customHeight="1" x14ac:dyDescent="0.2">
      <c r="A62" t="s">
        <v>185</v>
      </c>
      <c r="B62" t="s">
        <v>186</v>
      </c>
      <c r="C62" s="7">
        <f>Inventory!E62*1.3</f>
        <v>1950</v>
      </c>
      <c r="D62" s="1">
        <v>3</v>
      </c>
      <c r="E62" s="8">
        <f t="shared" si="1"/>
        <v>5850</v>
      </c>
    </row>
    <row r="63" spans="1:5" ht="12.95" customHeight="1" x14ac:dyDescent="0.2">
      <c r="A63" t="s">
        <v>185</v>
      </c>
      <c r="B63" t="s">
        <v>189</v>
      </c>
      <c r="C63" s="7">
        <f>Inventory!E63*1.3</f>
        <v>2340</v>
      </c>
      <c r="D63" s="1">
        <v>6</v>
      </c>
      <c r="E63" s="8">
        <f t="shared" si="1"/>
        <v>14040</v>
      </c>
    </row>
    <row r="64" spans="1:5" ht="12.95" customHeight="1" x14ac:dyDescent="0.2">
      <c r="A64" t="s">
        <v>185</v>
      </c>
      <c r="B64" t="s">
        <v>192</v>
      </c>
      <c r="C64" s="7">
        <f>Inventory!E64*1.3</f>
        <v>2860</v>
      </c>
      <c r="D64" s="1">
        <v>0</v>
      </c>
      <c r="E64" s="8">
        <f t="shared" si="1"/>
        <v>0</v>
      </c>
    </row>
    <row r="65" spans="1:5" ht="12.95" customHeight="1" x14ac:dyDescent="0.2">
      <c r="A65" t="s">
        <v>185</v>
      </c>
      <c r="B65" t="s">
        <v>195</v>
      </c>
      <c r="C65" s="7">
        <f>Inventory!E65*1.3</f>
        <v>3250</v>
      </c>
      <c r="D65" s="1">
        <v>0</v>
      </c>
      <c r="E65" s="8">
        <f t="shared" si="1"/>
        <v>0</v>
      </c>
    </row>
    <row r="66" spans="1:5" ht="12.95" customHeight="1" x14ac:dyDescent="0.2">
      <c r="A66" t="s">
        <v>185</v>
      </c>
      <c r="B66" t="s">
        <v>198</v>
      </c>
      <c r="C66" s="7">
        <f>Inventory!E66*1.3</f>
        <v>3900</v>
      </c>
      <c r="D66" s="1">
        <v>0</v>
      </c>
      <c r="E66" s="8">
        <f t="shared" ref="E66:E97" si="2">C66 * D66</f>
        <v>0</v>
      </c>
    </row>
    <row r="67" spans="1:5" ht="12.95" customHeight="1" x14ac:dyDescent="0.2">
      <c r="A67" t="s">
        <v>185</v>
      </c>
      <c r="B67" t="s">
        <v>201</v>
      </c>
      <c r="C67" s="7">
        <f>Inventory!E67*1.3</f>
        <v>5850</v>
      </c>
      <c r="D67" s="1">
        <v>0</v>
      </c>
      <c r="E67" s="8">
        <f t="shared" si="2"/>
        <v>0</v>
      </c>
    </row>
    <row r="68" spans="1:5" ht="12.95" customHeight="1" x14ac:dyDescent="0.2">
      <c r="A68" t="s">
        <v>185</v>
      </c>
      <c r="B68" t="s">
        <v>204</v>
      </c>
      <c r="C68" s="7">
        <f>Inventory!E68*1.3</f>
        <v>7150</v>
      </c>
      <c r="D68" s="1">
        <v>0</v>
      </c>
      <c r="E68" s="8">
        <f t="shared" si="2"/>
        <v>0</v>
      </c>
    </row>
    <row r="69" spans="1:5" ht="12.95" customHeight="1" x14ac:dyDescent="0.2">
      <c r="A69" t="s">
        <v>185</v>
      </c>
      <c r="B69" t="s">
        <v>207</v>
      </c>
      <c r="C69" s="7">
        <f>Inventory!E69*1.3</f>
        <v>4550</v>
      </c>
      <c r="D69" s="1">
        <v>0</v>
      </c>
      <c r="E69" s="8">
        <f t="shared" si="2"/>
        <v>0</v>
      </c>
    </row>
    <row r="70" spans="1:5" ht="12.95" customHeight="1" x14ac:dyDescent="0.2">
      <c r="A70" t="s">
        <v>185</v>
      </c>
      <c r="B70" t="s">
        <v>210</v>
      </c>
      <c r="C70" s="7">
        <f>Inventory!E70*1.3</f>
        <v>7150</v>
      </c>
      <c r="D70" s="1">
        <v>0</v>
      </c>
      <c r="E70" s="8">
        <f t="shared" si="2"/>
        <v>0</v>
      </c>
    </row>
    <row r="71" spans="1:5" ht="12.95" customHeight="1" x14ac:dyDescent="0.2">
      <c r="A71" t="s">
        <v>185</v>
      </c>
      <c r="B71" t="s">
        <v>213</v>
      </c>
      <c r="C71" s="7">
        <f>Inventory!E71*1.3</f>
        <v>7800</v>
      </c>
      <c r="D71" s="1">
        <v>0</v>
      </c>
      <c r="E71" s="8">
        <f t="shared" si="2"/>
        <v>0</v>
      </c>
    </row>
    <row r="72" spans="1:5" ht="12.95" customHeight="1" x14ac:dyDescent="0.2">
      <c r="A72" t="s">
        <v>216</v>
      </c>
      <c r="B72" t="s">
        <v>217</v>
      </c>
      <c r="C72" s="7">
        <f>Inventory!E72*1.3</f>
        <v>1950</v>
      </c>
      <c r="D72" s="1">
        <v>0</v>
      </c>
      <c r="E72" s="8">
        <f t="shared" si="2"/>
        <v>0</v>
      </c>
    </row>
    <row r="73" spans="1:5" ht="12.95" customHeight="1" x14ac:dyDescent="0.2">
      <c r="A73" t="s">
        <v>216</v>
      </c>
      <c r="B73" t="s">
        <v>220</v>
      </c>
      <c r="C73" s="7">
        <f>Inventory!E73*1.3</f>
        <v>2340</v>
      </c>
      <c r="D73" s="1">
        <v>0</v>
      </c>
      <c r="E73" s="8">
        <f t="shared" si="2"/>
        <v>0</v>
      </c>
    </row>
    <row r="74" spans="1:5" ht="12.95" customHeight="1" x14ac:dyDescent="0.2">
      <c r="A74" t="s">
        <v>216</v>
      </c>
      <c r="B74" t="s">
        <v>223</v>
      </c>
      <c r="C74" s="7">
        <f>Inventory!E74*1.3</f>
        <v>3250</v>
      </c>
      <c r="D74" s="1">
        <v>0</v>
      </c>
      <c r="E74" s="8">
        <f t="shared" si="2"/>
        <v>0</v>
      </c>
    </row>
    <row r="75" spans="1:5" ht="12.95" customHeight="1" x14ac:dyDescent="0.2">
      <c r="A75" t="s">
        <v>216</v>
      </c>
      <c r="B75" t="s">
        <v>226</v>
      </c>
      <c r="C75" s="7">
        <f>Inventory!E75*1.3</f>
        <v>3900</v>
      </c>
      <c r="D75" s="1">
        <v>0</v>
      </c>
      <c r="E75" s="8">
        <f t="shared" si="2"/>
        <v>0</v>
      </c>
    </row>
    <row r="76" spans="1:5" ht="12.95" customHeight="1" x14ac:dyDescent="0.2">
      <c r="A76" t="s">
        <v>216</v>
      </c>
      <c r="B76" t="s">
        <v>229</v>
      </c>
      <c r="C76" s="7">
        <f>Inventory!E76*1.3</f>
        <v>5200</v>
      </c>
      <c r="D76" s="1">
        <v>0</v>
      </c>
      <c r="E76" s="8">
        <f t="shared" si="2"/>
        <v>0</v>
      </c>
    </row>
    <row r="77" spans="1:5" ht="12.95" customHeight="1" x14ac:dyDescent="0.2">
      <c r="A77" t="s">
        <v>216</v>
      </c>
      <c r="B77" t="s">
        <v>232</v>
      </c>
      <c r="C77" s="7">
        <f>Inventory!E77*1.3</f>
        <v>6500</v>
      </c>
      <c r="D77" s="1">
        <v>0</v>
      </c>
      <c r="E77" s="8">
        <f t="shared" si="2"/>
        <v>0</v>
      </c>
    </row>
    <row r="78" spans="1:5" ht="12.95" customHeight="1" x14ac:dyDescent="0.2">
      <c r="A78" t="s">
        <v>216</v>
      </c>
      <c r="B78" t="s">
        <v>235</v>
      </c>
      <c r="C78" s="7">
        <f>Inventory!E78*1.3</f>
        <v>2600</v>
      </c>
      <c r="D78" s="1">
        <v>0</v>
      </c>
      <c r="E78" s="8">
        <f t="shared" si="2"/>
        <v>0</v>
      </c>
    </row>
    <row r="79" spans="1:5" ht="12.95" customHeight="1" x14ac:dyDescent="0.2">
      <c r="A79" t="s">
        <v>216</v>
      </c>
      <c r="B79" t="s">
        <v>238</v>
      </c>
      <c r="C79" s="7">
        <f>Inventory!E79*1.3</f>
        <v>3250</v>
      </c>
      <c r="D79" s="1">
        <v>1</v>
      </c>
      <c r="E79" s="8">
        <f t="shared" si="2"/>
        <v>3250</v>
      </c>
    </row>
    <row r="80" spans="1:5" ht="12.95" customHeight="1" x14ac:dyDescent="0.2">
      <c r="A80" t="s">
        <v>216</v>
      </c>
      <c r="B80" t="s">
        <v>241</v>
      </c>
      <c r="C80" s="7">
        <f>Inventory!E80*1.3</f>
        <v>4550</v>
      </c>
      <c r="D80" s="1">
        <v>1</v>
      </c>
      <c r="E80" s="8">
        <f t="shared" si="2"/>
        <v>4550</v>
      </c>
    </row>
    <row r="81" spans="1:5" ht="12.95" customHeight="1" x14ac:dyDescent="0.2">
      <c r="A81" t="s">
        <v>216</v>
      </c>
      <c r="B81" t="s">
        <v>244</v>
      </c>
      <c r="C81" s="7">
        <f>Inventory!E81*1.3</f>
        <v>5200</v>
      </c>
      <c r="D81" s="1">
        <v>1</v>
      </c>
      <c r="E81" s="8">
        <f t="shared" si="2"/>
        <v>5200</v>
      </c>
    </row>
    <row r="82" spans="1:5" ht="12.95" customHeight="1" x14ac:dyDescent="0.2">
      <c r="A82" t="s">
        <v>247</v>
      </c>
      <c r="B82" t="s">
        <v>248</v>
      </c>
      <c r="C82" s="7">
        <f>Inventory!E82*1.3</f>
        <v>1300</v>
      </c>
      <c r="D82" s="1">
        <v>1</v>
      </c>
      <c r="E82" s="8">
        <f t="shared" si="2"/>
        <v>1300</v>
      </c>
    </row>
    <row r="83" spans="1:5" ht="12.95" customHeight="1" x14ac:dyDescent="0.2">
      <c r="A83" t="s">
        <v>247</v>
      </c>
      <c r="B83" t="s">
        <v>251</v>
      </c>
      <c r="C83" s="7">
        <f>Inventory!E83*1.3</f>
        <v>1560</v>
      </c>
      <c r="D83" s="1">
        <v>2</v>
      </c>
      <c r="E83" s="8">
        <f t="shared" si="2"/>
        <v>3120</v>
      </c>
    </row>
    <row r="84" spans="1:5" ht="12.95" customHeight="1" x14ac:dyDescent="0.2">
      <c r="A84" t="s">
        <v>247</v>
      </c>
      <c r="B84" t="s">
        <v>254</v>
      </c>
      <c r="C84" s="7">
        <f>Inventory!E84*1.3</f>
        <v>1950</v>
      </c>
      <c r="D84" s="1">
        <v>3</v>
      </c>
      <c r="E84" s="8">
        <f t="shared" si="2"/>
        <v>5850</v>
      </c>
    </row>
    <row r="85" spans="1:5" ht="12.95" customHeight="1" x14ac:dyDescent="0.2">
      <c r="A85" t="s">
        <v>247</v>
      </c>
      <c r="B85" t="s">
        <v>257</v>
      </c>
      <c r="C85" s="7">
        <f>Inventory!E85*1.3</f>
        <v>3250</v>
      </c>
      <c r="D85" s="1">
        <v>3</v>
      </c>
      <c r="E85" s="8">
        <f t="shared" si="2"/>
        <v>9750</v>
      </c>
    </row>
    <row r="86" spans="1:5" ht="12.95" customHeight="1" x14ac:dyDescent="0.2">
      <c r="A86" t="s">
        <v>247</v>
      </c>
      <c r="B86" t="s">
        <v>260</v>
      </c>
      <c r="C86" s="7">
        <f>Inventory!E86*1.3</f>
        <v>4550</v>
      </c>
      <c r="D86" s="1">
        <v>3</v>
      </c>
      <c r="E86" s="8">
        <f t="shared" si="2"/>
        <v>13650</v>
      </c>
    </row>
    <row r="87" spans="1:5" ht="12.95" customHeight="1" x14ac:dyDescent="0.2">
      <c r="A87" t="s">
        <v>247</v>
      </c>
      <c r="B87" t="s">
        <v>263</v>
      </c>
      <c r="C87" s="7">
        <f>Inventory!E87*1.3</f>
        <v>2340</v>
      </c>
      <c r="D87" s="1">
        <v>0</v>
      </c>
      <c r="E87" s="8">
        <f t="shared" si="2"/>
        <v>0</v>
      </c>
    </row>
    <row r="88" spans="1:5" ht="12.95" customHeight="1" x14ac:dyDescent="0.2">
      <c r="A88" t="s">
        <v>247</v>
      </c>
      <c r="B88" t="s">
        <v>266</v>
      </c>
      <c r="C88" s="7">
        <f>Inventory!E88*1.3</f>
        <v>260</v>
      </c>
      <c r="D88" s="1">
        <v>0</v>
      </c>
      <c r="E88" s="8">
        <f t="shared" si="2"/>
        <v>0</v>
      </c>
    </row>
    <row r="89" spans="1:5" ht="12.95" customHeight="1" x14ac:dyDescent="0.2">
      <c r="A89" t="s">
        <v>247</v>
      </c>
      <c r="B89" t="s">
        <v>269</v>
      </c>
      <c r="C89" s="7">
        <f>Inventory!E89*1.3</f>
        <v>1950</v>
      </c>
      <c r="D89" s="1">
        <v>0</v>
      </c>
      <c r="E89" s="8">
        <f t="shared" si="2"/>
        <v>0</v>
      </c>
    </row>
    <row r="90" spans="1:5" ht="12.95" customHeight="1" x14ac:dyDescent="0.2">
      <c r="A90" t="s">
        <v>247</v>
      </c>
      <c r="B90" t="s">
        <v>272</v>
      </c>
      <c r="C90" s="7">
        <f>Inventory!E90*1.3</f>
        <v>1560</v>
      </c>
      <c r="D90" s="1">
        <v>0</v>
      </c>
      <c r="E90" s="8">
        <f t="shared" si="2"/>
        <v>0</v>
      </c>
    </row>
    <row r="91" spans="1:5" ht="12.95" customHeight="1" x14ac:dyDescent="0.2">
      <c r="A91" t="s">
        <v>247</v>
      </c>
      <c r="B91" t="s">
        <v>275</v>
      </c>
      <c r="C91" s="7">
        <f>Inventory!E91*1.3</f>
        <v>3250</v>
      </c>
      <c r="D91" s="1">
        <v>0</v>
      </c>
      <c r="E91" s="8">
        <f t="shared" si="2"/>
        <v>0</v>
      </c>
    </row>
    <row r="92" spans="1:5" ht="12.95" customHeight="1" x14ac:dyDescent="0.2">
      <c r="A92" t="s">
        <v>278</v>
      </c>
      <c r="B92" t="s">
        <v>279</v>
      </c>
      <c r="C92" s="7">
        <f>Inventory!E92*1.3</f>
        <v>1950</v>
      </c>
      <c r="D92" s="1">
        <v>0</v>
      </c>
      <c r="E92" s="8">
        <f t="shared" si="2"/>
        <v>0</v>
      </c>
    </row>
    <row r="93" spans="1:5" ht="12.95" customHeight="1" x14ac:dyDescent="0.2">
      <c r="A93" t="s">
        <v>278</v>
      </c>
      <c r="B93" t="s">
        <v>282</v>
      </c>
      <c r="C93" s="7">
        <f>Inventory!E93*1.3</f>
        <v>2340</v>
      </c>
      <c r="D93" s="1">
        <v>0</v>
      </c>
      <c r="E93" s="8">
        <f t="shared" si="2"/>
        <v>0</v>
      </c>
    </row>
    <row r="94" spans="1:5" ht="12.95" customHeight="1" x14ac:dyDescent="0.2">
      <c r="A94" t="s">
        <v>278</v>
      </c>
      <c r="B94" t="s">
        <v>285</v>
      </c>
      <c r="C94" s="7">
        <f>Inventory!E94*1.3</f>
        <v>1950</v>
      </c>
      <c r="D94" s="1">
        <v>0</v>
      </c>
      <c r="E94" s="8">
        <f t="shared" si="2"/>
        <v>0</v>
      </c>
    </row>
    <row r="95" spans="1:5" ht="12.95" customHeight="1" x14ac:dyDescent="0.2">
      <c r="A95" t="s">
        <v>278</v>
      </c>
      <c r="B95" t="s">
        <v>288</v>
      </c>
      <c r="C95" s="7">
        <f>Inventory!E95*1.3</f>
        <v>2600</v>
      </c>
      <c r="D95" s="1">
        <v>1</v>
      </c>
      <c r="E95" s="8">
        <f t="shared" si="2"/>
        <v>2600</v>
      </c>
    </row>
    <row r="96" spans="1:5" ht="12.95" customHeight="1" x14ac:dyDescent="0.2">
      <c r="A96" t="s">
        <v>278</v>
      </c>
      <c r="B96" t="s">
        <v>291</v>
      </c>
      <c r="C96" s="7">
        <f>Inventory!E96*1.3</f>
        <v>3250</v>
      </c>
      <c r="D96" s="1">
        <v>1</v>
      </c>
      <c r="E96" s="8">
        <f t="shared" si="2"/>
        <v>3250</v>
      </c>
    </row>
    <row r="97" spans="1:5" ht="12.95" customHeight="1" x14ac:dyDescent="0.2">
      <c r="A97" t="s">
        <v>278</v>
      </c>
      <c r="B97" t="s">
        <v>294</v>
      </c>
      <c r="C97" s="7">
        <f>Inventory!E97*1.3</f>
        <v>3900</v>
      </c>
      <c r="D97" s="1">
        <v>1</v>
      </c>
      <c r="E97" s="8">
        <f t="shared" si="2"/>
        <v>3900</v>
      </c>
    </row>
    <row r="98" spans="1:5" ht="12.95" customHeight="1" x14ac:dyDescent="0.2">
      <c r="A98" t="s">
        <v>278</v>
      </c>
      <c r="B98" t="s">
        <v>297</v>
      </c>
      <c r="C98" s="7">
        <f>Inventory!E98*1.3</f>
        <v>2340</v>
      </c>
      <c r="D98" s="1">
        <v>1</v>
      </c>
      <c r="E98" s="8">
        <f t="shared" ref="E98:E129" si="3">C98 * D98</f>
        <v>2340</v>
      </c>
    </row>
    <row r="99" spans="1:5" ht="12.95" customHeight="1" x14ac:dyDescent="0.2">
      <c r="A99" t="s">
        <v>278</v>
      </c>
      <c r="B99" t="s">
        <v>300</v>
      </c>
      <c r="C99" s="7">
        <f>Inventory!E99*1.3</f>
        <v>2860</v>
      </c>
      <c r="D99" s="1">
        <v>1</v>
      </c>
      <c r="E99" s="8">
        <f t="shared" si="3"/>
        <v>2860</v>
      </c>
    </row>
    <row r="100" spans="1:5" ht="12.95" customHeight="1" x14ac:dyDescent="0.2">
      <c r="A100" t="s">
        <v>278</v>
      </c>
      <c r="B100" t="s">
        <v>303</v>
      </c>
      <c r="C100" s="7">
        <f>Inventory!E100*1.3</f>
        <v>11050</v>
      </c>
      <c r="D100" s="1">
        <v>0</v>
      </c>
      <c r="E100" s="8">
        <f t="shared" si="3"/>
        <v>0</v>
      </c>
    </row>
    <row r="101" spans="1:5" ht="12.95" customHeight="1" x14ac:dyDescent="0.2">
      <c r="A101" t="s">
        <v>278</v>
      </c>
      <c r="B101" t="s">
        <v>306</v>
      </c>
      <c r="C101" s="7">
        <f>Inventory!E101*1.3</f>
        <v>4550</v>
      </c>
      <c r="D101" s="1">
        <v>1</v>
      </c>
      <c r="E101" s="8">
        <f t="shared" si="3"/>
        <v>4550</v>
      </c>
    </row>
    <row r="102" spans="1:5" ht="12.95" customHeight="1" x14ac:dyDescent="0.2">
      <c r="D102" s="1"/>
      <c r="E102" s="8"/>
    </row>
    <row r="103" spans="1:5" ht="12.95" customHeight="1" x14ac:dyDescent="0.2">
      <c r="E103" s="8"/>
    </row>
    <row r="104" spans="1:5" ht="12.95" customHeight="1" x14ac:dyDescent="0.2">
      <c r="E104" s="8"/>
    </row>
    <row r="105" spans="1:5" ht="12.95" customHeight="1" x14ac:dyDescent="0.2">
      <c r="E105" s="8"/>
    </row>
    <row r="106" spans="1:5" ht="12.95" customHeight="1" x14ac:dyDescent="0.2">
      <c r="E106" s="8"/>
    </row>
    <row r="107" spans="1:5" ht="12.95" customHeight="1" x14ac:dyDescent="0.2">
      <c r="E107" s="8"/>
    </row>
    <row r="108" spans="1:5" ht="12.95" customHeight="1" x14ac:dyDescent="0.2">
      <c r="E108" s="8"/>
    </row>
    <row r="109" spans="1:5" ht="12.95" customHeight="1" x14ac:dyDescent="0.2">
      <c r="E109" s="8"/>
    </row>
    <row r="110" spans="1:5" ht="12.95" customHeight="1" x14ac:dyDescent="0.2">
      <c r="E110" s="8"/>
    </row>
    <row r="111" spans="1:5" ht="12.95" customHeight="1" x14ac:dyDescent="0.2">
      <c r="E111" s="8"/>
    </row>
    <row r="112" spans="1:5" ht="12.95" customHeight="1" x14ac:dyDescent="0.2">
      <c r="E112" s="8"/>
    </row>
    <row r="113" spans="5:5" ht="12.95" customHeight="1" x14ac:dyDescent="0.2">
      <c r="E113" s="8"/>
    </row>
    <row r="114" spans="5:5" ht="12.95" customHeight="1" x14ac:dyDescent="0.2">
      <c r="E114" s="8"/>
    </row>
    <row r="115" spans="5:5" ht="12.95" customHeight="1" x14ac:dyDescent="0.2">
      <c r="E115" s="8"/>
    </row>
    <row r="116" spans="5:5" ht="12.95" customHeight="1" x14ac:dyDescent="0.2">
      <c r="E116" s="8"/>
    </row>
    <row r="117" spans="5:5" ht="12.95" customHeight="1" x14ac:dyDescent="0.2">
      <c r="E117" s="8"/>
    </row>
    <row r="118" spans="5:5" ht="12.95" customHeight="1" x14ac:dyDescent="0.2">
      <c r="E118" s="8"/>
    </row>
    <row r="119" spans="5:5" ht="12.95" customHeight="1" x14ac:dyDescent="0.2">
      <c r="E119" s="8"/>
    </row>
    <row r="120" spans="5:5" ht="12.95" customHeight="1" x14ac:dyDescent="0.2">
      <c r="E120" s="8"/>
    </row>
    <row r="121" spans="5:5" ht="12.95" customHeight="1" x14ac:dyDescent="0.2">
      <c r="E121" s="8"/>
    </row>
    <row r="122" spans="5:5" ht="12.95" customHeight="1" x14ac:dyDescent="0.2">
      <c r="E122" s="8"/>
    </row>
    <row r="123" spans="5:5" ht="12.95" customHeight="1" x14ac:dyDescent="0.2">
      <c r="E123" s="8"/>
    </row>
    <row r="124" spans="5:5" ht="12.95" customHeight="1" x14ac:dyDescent="0.2">
      <c r="E124" s="8"/>
    </row>
    <row r="125" spans="5:5" ht="12.95" customHeight="1" x14ac:dyDescent="0.2">
      <c r="E125" s="8"/>
    </row>
    <row r="126" spans="5:5" ht="12.95" customHeight="1" x14ac:dyDescent="0.2">
      <c r="E126" s="8"/>
    </row>
    <row r="127" spans="5:5" ht="12.95" customHeight="1" x14ac:dyDescent="0.2">
      <c r="E127" s="8"/>
    </row>
    <row r="128" spans="5:5" ht="12.95" customHeight="1" x14ac:dyDescent="0.2">
      <c r="E128" s="8"/>
    </row>
    <row r="129" spans="5:5" ht="12.95" customHeight="1" x14ac:dyDescent="0.2">
      <c r="E129" s="8"/>
    </row>
    <row r="130" spans="5:5" ht="12.95" customHeight="1" x14ac:dyDescent="0.2">
      <c r="E130" s="8"/>
    </row>
    <row r="131" spans="5:5" ht="12.95" customHeight="1" x14ac:dyDescent="0.2">
      <c r="E131" s="8"/>
    </row>
    <row r="132" spans="5:5" ht="12.95" customHeight="1" x14ac:dyDescent="0.2">
      <c r="E132" s="8"/>
    </row>
    <row r="133" spans="5:5" ht="12.95" customHeight="1" x14ac:dyDescent="0.2">
      <c r="E133" s="8"/>
    </row>
    <row r="134" spans="5:5" ht="12.95" customHeight="1" x14ac:dyDescent="0.2">
      <c r="E134" s="8"/>
    </row>
    <row r="135" spans="5:5" ht="12.95" customHeight="1" x14ac:dyDescent="0.2">
      <c r="E135" s="8"/>
    </row>
    <row r="136" spans="5:5" ht="12.95" customHeight="1" x14ac:dyDescent="0.2">
      <c r="E136" s="8"/>
    </row>
    <row r="137" spans="5:5" ht="12.95" customHeight="1" x14ac:dyDescent="0.2">
      <c r="E137" s="8"/>
    </row>
    <row r="138" spans="5:5" ht="12.95" customHeight="1" x14ac:dyDescent="0.2">
      <c r="E138" s="8"/>
    </row>
    <row r="139" spans="5:5" ht="12.95" customHeight="1" x14ac:dyDescent="0.2">
      <c r="E139" s="8"/>
    </row>
    <row r="140" spans="5:5" ht="12.95" customHeight="1" x14ac:dyDescent="0.2">
      <c r="E140" s="8"/>
    </row>
    <row r="141" spans="5:5" ht="12.95" customHeight="1" x14ac:dyDescent="0.2">
      <c r="E141" s="8"/>
    </row>
    <row r="142" spans="5:5" ht="12.95" customHeight="1" x14ac:dyDescent="0.2">
      <c r="E142" s="8"/>
    </row>
    <row r="143" spans="5:5" ht="12.95" customHeight="1" x14ac:dyDescent="0.2">
      <c r="E143" s="8"/>
    </row>
    <row r="144" spans="5:5" ht="12.95" customHeight="1" x14ac:dyDescent="0.2">
      <c r="E144" s="8"/>
    </row>
    <row r="145" spans="5:5" ht="12.95" customHeight="1" x14ac:dyDescent="0.2">
      <c r="E145" s="8"/>
    </row>
    <row r="146" spans="5:5" ht="12.95" customHeight="1" x14ac:dyDescent="0.2">
      <c r="E146" s="8"/>
    </row>
    <row r="147" spans="5:5" ht="12.95" customHeight="1" x14ac:dyDescent="0.2">
      <c r="E147" s="8"/>
    </row>
    <row r="148" spans="5:5" ht="12.95" customHeight="1" x14ac:dyDescent="0.2">
      <c r="E148" s="8"/>
    </row>
    <row r="149" spans="5:5" ht="12.95" customHeight="1" x14ac:dyDescent="0.2">
      <c r="E149" s="8"/>
    </row>
    <row r="150" spans="5:5" ht="12.95" customHeight="1" x14ac:dyDescent="0.2">
      <c r="E150" s="8"/>
    </row>
    <row r="151" spans="5:5" ht="12.95" customHeight="1" x14ac:dyDescent="0.2">
      <c r="E151" s="8"/>
    </row>
    <row r="152" spans="5:5" ht="12.95" customHeight="1" x14ac:dyDescent="0.2">
      <c r="E152" s="8"/>
    </row>
    <row r="153" spans="5:5" ht="12.95" customHeight="1" x14ac:dyDescent="0.2">
      <c r="E153" s="8"/>
    </row>
    <row r="154" spans="5:5" ht="12.95" customHeight="1" x14ac:dyDescent="0.2">
      <c r="E154" s="8"/>
    </row>
    <row r="155" spans="5:5" ht="12.95" customHeight="1" x14ac:dyDescent="0.2">
      <c r="E155" s="8"/>
    </row>
    <row r="156" spans="5:5" ht="12.95" customHeight="1" x14ac:dyDescent="0.2">
      <c r="E156" s="8"/>
    </row>
    <row r="157" spans="5:5" ht="12.95" customHeight="1" x14ac:dyDescent="0.2">
      <c r="E157" s="8"/>
    </row>
    <row r="158" spans="5:5" ht="12.95" customHeight="1" x14ac:dyDescent="0.2">
      <c r="E158" s="8"/>
    </row>
    <row r="159" spans="5:5" ht="12.95" customHeight="1" x14ac:dyDescent="0.2">
      <c r="E159" s="8"/>
    </row>
    <row r="160" spans="5:5" ht="12.95" customHeight="1" x14ac:dyDescent="0.2">
      <c r="E160" s="8"/>
    </row>
    <row r="161" spans="5:5" ht="12.95" customHeight="1" x14ac:dyDescent="0.2">
      <c r="E161" s="8"/>
    </row>
    <row r="162" spans="5:5" ht="12.95" customHeight="1" x14ac:dyDescent="0.2">
      <c r="E162" s="8"/>
    </row>
    <row r="163" spans="5:5" ht="12.95" customHeight="1" x14ac:dyDescent="0.2">
      <c r="E163" s="8"/>
    </row>
    <row r="164" spans="5:5" ht="12.95" customHeight="1" x14ac:dyDescent="0.2">
      <c r="E164" s="8"/>
    </row>
    <row r="165" spans="5:5" ht="12.95" customHeight="1" x14ac:dyDescent="0.2">
      <c r="E165" s="8"/>
    </row>
    <row r="166" spans="5:5" ht="12.95" customHeight="1" x14ac:dyDescent="0.2">
      <c r="E166" s="8"/>
    </row>
    <row r="167" spans="5:5" ht="12.95" customHeight="1" x14ac:dyDescent="0.2">
      <c r="E167" s="8"/>
    </row>
    <row r="168" spans="5:5" ht="12.95" customHeight="1" x14ac:dyDescent="0.2">
      <c r="E168" s="8"/>
    </row>
    <row r="169" spans="5:5" ht="12.95" customHeight="1" x14ac:dyDescent="0.2">
      <c r="E169" s="8"/>
    </row>
    <row r="170" spans="5:5" ht="12.95" customHeight="1" x14ac:dyDescent="0.2">
      <c r="E170" s="8"/>
    </row>
    <row r="171" spans="5:5" ht="12.95" customHeight="1" x14ac:dyDescent="0.2">
      <c r="E171" s="8"/>
    </row>
    <row r="172" spans="5:5" ht="12.95" customHeight="1" x14ac:dyDescent="0.2">
      <c r="E172" s="8"/>
    </row>
    <row r="173" spans="5:5" ht="12.95" customHeight="1" x14ac:dyDescent="0.2">
      <c r="E173" s="8"/>
    </row>
    <row r="174" spans="5:5" ht="12.95" customHeight="1" x14ac:dyDescent="0.2">
      <c r="E174" s="8"/>
    </row>
    <row r="175" spans="5:5" ht="12.95" customHeight="1" x14ac:dyDescent="0.2">
      <c r="E175" s="8"/>
    </row>
    <row r="176" spans="5:5" ht="12.95" customHeight="1" x14ac:dyDescent="0.2">
      <c r="E176" s="8"/>
    </row>
    <row r="177" spans="5:5" ht="12.95" customHeight="1" x14ac:dyDescent="0.2">
      <c r="E177" s="8"/>
    </row>
    <row r="178" spans="5:5" ht="12.95" customHeight="1" x14ac:dyDescent="0.2">
      <c r="E178" s="8"/>
    </row>
    <row r="179" spans="5:5" ht="12.95" customHeight="1" x14ac:dyDescent="0.2">
      <c r="E179" s="8"/>
    </row>
    <row r="180" spans="5:5" ht="12.95" customHeight="1" x14ac:dyDescent="0.2">
      <c r="E180" s="8"/>
    </row>
    <row r="181" spans="5:5" ht="12.95" customHeight="1" x14ac:dyDescent="0.2">
      <c r="E181" s="8"/>
    </row>
    <row r="182" spans="5:5" ht="12.95" customHeight="1" x14ac:dyDescent="0.2">
      <c r="E182" s="8"/>
    </row>
    <row r="183" spans="5:5" ht="12.95" customHeight="1" x14ac:dyDescent="0.2">
      <c r="E183" s="8"/>
    </row>
    <row r="184" spans="5:5" ht="12.95" customHeight="1" x14ac:dyDescent="0.2">
      <c r="E184" s="8"/>
    </row>
    <row r="185" spans="5:5" ht="12.95" customHeight="1" x14ac:dyDescent="0.2">
      <c r="E185" s="8"/>
    </row>
    <row r="186" spans="5:5" ht="12.95" customHeight="1" x14ac:dyDescent="0.2">
      <c r="E186" s="8"/>
    </row>
    <row r="187" spans="5:5" ht="12.95" customHeight="1" x14ac:dyDescent="0.2">
      <c r="E187" s="8"/>
    </row>
    <row r="188" spans="5:5" ht="12.95" customHeight="1" x14ac:dyDescent="0.2">
      <c r="E188" s="8"/>
    </row>
    <row r="189" spans="5:5" ht="12.95" customHeight="1" x14ac:dyDescent="0.2">
      <c r="E189" s="8"/>
    </row>
    <row r="190" spans="5:5" ht="12.95" customHeight="1" x14ac:dyDescent="0.2">
      <c r="E190" s="8"/>
    </row>
    <row r="191" spans="5:5" ht="12.95" customHeight="1" x14ac:dyDescent="0.2">
      <c r="E191" s="8"/>
    </row>
    <row r="192" spans="5:5" ht="12.95" customHeight="1" x14ac:dyDescent="0.2">
      <c r="E192" s="8"/>
    </row>
    <row r="193" spans="5:5" ht="12.95" customHeight="1" x14ac:dyDescent="0.2">
      <c r="E193" s="8"/>
    </row>
    <row r="194" spans="5:5" ht="12.95" customHeight="1" x14ac:dyDescent="0.2">
      <c r="E194" s="8"/>
    </row>
    <row r="195" spans="5:5" ht="12.95" customHeight="1" x14ac:dyDescent="0.2">
      <c r="E195" s="8"/>
    </row>
    <row r="196" spans="5:5" ht="12.95" customHeight="1" x14ac:dyDescent="0.2">
      <c r="E196" s="8"/>
    </row>
    <row r="197" spans="5:5" ht="12.95" customHeight="1" x14ac:dyDescent="0.2">
      <c r="E197" s="8"/>
    </row>
    <row r="198" spans="5:5" ht="12.95" customHeight="1" x14ac:dyDescent="0.2">
      <c r="E198" s="8"/>
    </row>
    <row r="199" spans="5:5" ht="12.95" customHeight="1" x14ac:dyDescent="0.2">
      <c r="E199" s="8"/>
    </row>
    <row r="200" spans="5:5" ht="12.95" customHeight="1" x14ac:dyDescent="0.2">
      <c r="E200" s="8"/>
    </row>
    <row r="201" spans="5:5" ht="12.95" customHeight="1" x14ac:dyDescent="0.2">
      <c r="E201" s="8"/>
    </row>
    <row r="202" spans="5:5" ht="12.95" customHeight="1" x14ac:dyDescent="0.2">
      <c r="E202" s="8"/>
    </row>
    <row r="203" spans="5:5" ht="12.95" customHeight="1" x14ac:dyDescent="0.2">
      <c r="E203" s="8"/>
    </row>
    <row r="204" spans="5:5" ht="12.95" customHeight="1" x14ac:dyDescent="0.2">
      <c r="E204" s="8"/>
    </row>
    <row r="205" spans="5:5" ht="12.95" customHeight="1" x14ac:dyDescent="0.2">
      <c r="E205" s="8"/>
    </row>
    <row r="206" spans="5:5" ht="12.95" customHeight="1" x14ac:dyDescent="0.2">
      <c r="E206" s="8"/>
    </row>
    <row r="207" spans="5:5" ht="12.95" customHeight="1" x14ac:dyDescent="0.2">
      <c r="E207" s="8"/>
    </row>
    <row r="208" spans="5:5" ht="12.95" customHeight="1" x14ac:dyDescent="0.2">
      <c r="E208" s="8"/>
    </row>
    <row r="209" spans="5:5" ht="12.95" customHeight="1" x14ac:dyDescent="0.2">
      <c r="E209" s="8"/>
    </row>
    <row r="210" spans="5:5" ht="12.95" customHeight="1" x14ac:dyDescent="0.2">
      <c r="E210" s="8"/>
    </row>
    <row r="211" spans="5:5" ht="12.95" customHeight="1" x14ac:dyDescent="0.2">
      <c r="E211" s="8"/>
    </row>
    <row r="212" spans="5:5" ht="12.95" customHeight="1" x14ac:dyDescent="0.2">
      <c r="E212" s="8"/>
    </row>
    <row r="213" spans="5:5" ht="12.95" customHeight="1" x14ac:dyDescent="0.2">
      <c r="E213" s="8"/>
    </row>
    <row r="214" spans="5:5" ht="12.95" customHeight="1" x14ac:dyDescent="0.2">
      <c r="E214" s="8"/>
    </row>
    <row r="215" spans="5:5" ht="12.95" customHeight="1" x14ac:dyDescent="0.2">
      <c r="E215" s="8"/>
    </row>
    <row r="216" spans="5:5" ht="12.95" customHeight="1" x14ac:dyDescent="0.2">
      <c r="E216" s="8"/>
    </row>
    <row r="217" spans="5:5" ht="12.95" customHeight="1" x14ac:dyDescent="0.2">
      <c r="E217" s="8"/>
    </row>
    <row r="218" spans="5:5" ht="12.95" customHeight="1" x14ac:dyDescent="0.2">
      <c r="E218" s="8"/>
    </row>
    <row r="219" spans="5:5" ht="12.95" customHeight="1" x14ac:dyDescent="0.2">
      <c r="E219" s="8"/>
    </row>
    <row r="220" spans="5:5" ht="12.95" customHeight="1" x14ac:dyDescent="0.2">
      <c r="E220" s="8"/>
    </row>
    <row r="221" spans="5:5" ht="12.95" customHeight="1" x14ac:dyDescent="0.2">
      <c r="E221" s="8"/>
    </row>
    <row r="222" spans="5:5" ht="12.95" customHeight="1" x14ac:dyDescent="0.2">
      <c r="E222" s="8"/>
    </row>
    <row r="223" spans="5:5" ht="12.95" customHeight="1" x14ac:dyDescent="0.2">
      <c r="E223" s="8"/>
    </row>
    <row r="224" spans="5:5" ht="12.95" customHeight="1" x14ac:dyDescent="0.2">
      <c r="E224" s="8"/>
    </row>
    <row r="225" spans="5:5" ht="12.95" customHeight="1" x14ac:dyDescent="0.2">
      <c r="E225" s="8"/>
    </row>
    <row r="226" spans="5:5" ht="12.95" customHeight="1" x14ac:dyDescent="0.2">
      <c r="E226" s="8"/>
    </row>
    <row r="227" spans="5:5" ht="12.95" customHeight="1" x14ac:dyDescent="0.2">
      <c r="E227" s="8"/>
    </row>
    <row r="228" spans="5:5" ht="12.95" customHeight="1" x14ac:dyDescent="0.2">
      <c r="E228" s="8"/>
    </row>
    <row r="229" spans="5:5" ht="12.95" customHeight="1" x14ac:dyDescent="0.2">
      <c r="E229" s="8"/>
    </row>
    <row r="230" spans="5:5" ht="12.95" customHeight="1" x14ac:dyDescent="0.2">
      <c r="E230" s="8"/>
    </row>
    <row r="231" spans="5:5" ht="12.95" customHeight="1" x14ac:dyDescent="0.2">
      <c r="E231" s="8"/>
    </row>
    <row r="232" spans="5:5" ht="12.95" customHeight="1" x14ac:dyDescent="0.2">
      <c r="E232" s="8"/>
    </row>
    <row r="233" spans="5:5" ht="12.95" customHeight="1" x14ac:dyDescent="0.2">
      <c r="E233" s="8"/>
    </row>
    <row r="234" spans="5:5" ht="12.95" customHeight="1" x14ac:dyDescent="0.2">
      <c r="E234" s="8"/>
    </row>
    <row r="235" spans="5:5" ht="12.95" customHeight="1" x14ac:dyDescent="0.2">
      <c r="E235" s="8"/>
    </row>
    <row r="236" spans="5:5" ht="12.95" customHeight="1" x14ac:dyDescent="0.2">
      <c r="E236" s="8"/>
    </row>
    <row r="237" spans="5:5" ht="12.95" customHeight="1" x14ac:dyDescent="0.2">
      <c r="E237" s="8"/>
    </row>
    <row r="238" spans="5:5" ht="12.95" customHeight="1" x14ac:dyDescent="0.2">
      <c r="E238" s="8"/>
    </row>
    <row r="239" spans="5:5" ht="12.95" customHeight="1" x14ac:dyDescent="0.2">
      <c r="E239" s="8"/>
    </row>
    <row r="240" spans="5:5" ht="12.95" customHeight="1" x14ac:dyDescent="0.2">
      <c r="E240" s="8"/>
    </row>
    <row r="241" spans="5:5" ht="12.95" customHeight="1" x14ac:dyDescent="0.2">
      <c r="E241" s="8"/>
    </row>
    <row r="242" spans="5:5" ht="12.95" customHeight="1" x14ac:dyDescent="0.2">
      <c r="E242" s="8"/>
    </row>
    <row r="243" spans="5:5" ht="12.95" customHeight="1" x14ac:dyDescent="0.2">
      <c r="E243" s="8"/>
    </row>
    <row r="244" spans="5:5" ht="12.95" customHeight="1" x14ac:dyDescent="0.2">
      <c r="E244" s="8"/>
    </row>
    <row r="245" spans="5:5" ht="12.95" customHeight="1" x14ac:dyDescent="0.2">
      <c r="E245" s="8"/>
    </row>
    <row r="246" spans="5:5" ht="12.95" customHeight="1" x14ac:dyDescent="0.2">
      <c r="E246" s="8"/>
    </row>
    <row r="247" spans="5:5" ht="12.95" customHeight="1" x14ac:dyDescent="0.2">
      <c r="E247" s="8"/>
    </row>
    <row r="248" spans="5:5" ht="12.95" customHeight="1" x14ac:dyDescent="0.2">
      <c r="E248" s="8"/>
    </row>
    <row r="249" spans="5:5" ht="12.95" customHeight="1" x14ac:dyDescent="0.2">
      <c r="E249" s="8"/>
    </row>
    <row r="250" spans="5:5" ht="12.95" customHeight="1" x14ac:dyDescent="0.2">
      <c r="E250" s="8"/>
    </row>
    <row r="251" spans="5:5" ht="12.95" customHeight="1" x14ac:dyDescent="0.2">
      <c r="E251" s="8"/>
    </row>
    <row r="252" spans="5:5" ht="12.95" customHeight="1" x14ac:dyDescent="0.2">
      <c r="E252" s="8"/>
    </row>
    <row r="253" spans="5:5" ht="12.95" customHeight="1" x14ac:dyDescent="0.2">
      <c r="E253" s="8"/>
    </row>
    <row r="254" spans="5:5" ht="12.95" customHeight="1" x14ac:dyDescent="0.2">
      <c r="E254" s="8"/>
    </row>
    <row r="255" spans="5:5" ht="12.95" customHeight="1" x14ac:dyDescent="0.2">
      <c r="E255" s="8"/>
    </row>
    <row r="256" spans="5:5" ht="12.95" customHeight="1" x14ac:dyDescent="0.2">
      <c r="E256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6"/>
  <sheetViews>
    <sheetView zoomScale="99" workbookViewId="0">
      <selection activeCell="G2" sqref="G2"/>
    </sheetView>
  </sheetViews>
  <sheetFormatPr defaultColWidth="12.42578125" defaultRowHeight="15.75" customHeight="1" x14ac:dyDescent="0.2"/>
  <cols>
    <col min="1" max="1" width="15.85546875" customWidth="1"/>
    <col min="2" max="2" width="16.7109375" customWidth="1"/>
    <col min="3" max="3" width="14.85546875" customWidth="1"/>
    <col min="4" max="4" width="19.85546875" style="7" customWidth="1"/>
    <col min="5" max="5" width="23.7109375" style="5" customWidth="1"/>
    <col min="6" max="6" width="21.28515625" style="5" customWidth="1"/>
    <col min="7" max="7" width="21.7109375" style="5" customWidth="1"/>
  </cols>
  <sheetData>
    <row r="1" spans="1:7" ht="15.75" customHeight="1" x14ac:dyDescent="0.2">
      <c r="A1" s="9" t="s">
        <v>313</v>
      </c>
      <c r="B1" s="9" t="s">
        <v>314</v>
      </c>
      <c r="C1" s="9" t="s">
        <v>315</v>
      </c>
      <c r="D1" s="10" t="s">
        <v>316</v>
      </c>
      <c r="E1" s="11" t="s">
        <v>317</v>
      </c>
      <c r="F1" s="11" t="s">
        <v>318</v>
      </c>
      <c r="G1" s="11" t="s">
        <v>319</v>
      </c>
    </row>
    <row r="2" spans="1:7" ht="15.75" customHeight="1" x14ac:dyDescent="0.2">
      <c r="A2" s="6" t="s">
        <v>320</v>
      </c>
      <c r="B2" s="6" t="s">
        <v>321</v>
      </c>
      <c r="C2" s="6" t="s">
        <v>322</v>
      </c>
      <c r="D2" s="7">
        <v>8000</v>
      </c>
      <c r="E2" s="5">
        <f>SUM(Sales!E2:E11,Sales!E12:E21)</f>
        <v>171925</v>
      </c>
      <c r="F2" s="5">
        <f>IF(E2&gt;15000,E2*0.5,E2*0.05)</f>
        <v>85962.5</v>
      </c>
      <c r="G2" s="5">
        <f>(D2+F2)</f>
        <v>93962.5</v>
      </c>
    </row>
    <row r="3" spans="1:7" ht="15.75" customHeight="1" x14ac:dyDescent="0.2">
      <c r="A3" s="6" t="s">
        <v>323</v>
      </c>
      <c r="B3" s="6" t="s">
        <v>324</v>
      </c>
      <c r="C3" s="6" t="s">
        <v>325</v>
      </c>
      <c r="D3" s="7">
        <v>8000</v>
      </c>
      <c r="E3" s="5">
        <f>SUM(Sales!E22:E41)</f>
        <v>140400</v>
      </c>
      <c r="F3" s="5">
        <f>IF(E3&gt;15000,E3*0.5,E3*0.05)</f>
        <v>70200</v>
      </c>
      <c r="G3" s="5">
        <f>(D3+F3)</f>
        <v>78200</v>
      </c>
    </row>
    <row r="4" spans="1:7" ht="15.75" customHeight="1" x14ac:dyDescent="0.2">
      <c r="A4" s="6" t="s">
        <v>326</v>
      </c>
      <c r="B4" s="6" t="s">
        <v>327</v>
      </c>
      <c r="C4" s="6" t="s">
        <v>328</v>
      </c>
      <c r="D4" s="7">
        <v>8000</v>
      </c>
      <c r="E4" s="5">
        <f>SUM(Sales!E42:E61)</f>
        <v>17810</v>
      </c>
      <c r="F4" s="5">
        <f>IF(E4&gt;15000,E4*0.5,E4*0.05)</f>
        <v>8905</v>
      </c>
      <c r="G4" s="5">
        <f>(D4+F4)</f>
        <v>16905</v>
      </c>
    </row>
    <row r="5" spans="1:7" ht="15.75" customHeight="1" x14ac:dyDescent="0.2">
      <c r="A5" s="6" t="s">
        <v>329</v>
      </c>
      <c r="B5" s="6" t="s">
        <v>330</v>
      </c>
      <c r="C5" s="6" t="s">
        <v>331</v>
      </c>
      <c r="D5" s="7">
        <v>8000</v>
      </c>
      <c r="E5" s="5">
        <f>SUM(Sales!E62:E81)</f>
        <v>32890</v>
      </c>
      <c r="F5" s="5">
        <f>IF(E5&gt;15000,E5*0.5,E5*0.05)</f>
        <v>16445</v>
      </c>
      <c r="G5" s="5">
        <f>(D5+F5)</f>
        <v>24445</v>
      </c>
    </row>
    <row r="6" spans="1:7" ht="15.75" customHeight="1" x14ac:dyDescent="0.2">
      <c r="A6" s="6" t="s">
        <v>332</v>
      </c>
      <c r="B6" s="6" t="s">
        <v>333</v>
      </c>
      <c r="C6" s="6" t="s">
        <v>334</v>
      </c>
      <c r="D6" s="7">
        <v>8000</v>
      </c>
      <c r="E6" s="5">
        <f>SUM(Sales!E82:E101)</f>
        <v>53170</v>
      </c>
      <c r="F6" s="5">
        <f>IF(E6&gt;15000,E6*0.5,E6*0.05)</f>
        <v>26585</v>
      </c>
      <c r="G6" s="5">
        <f>(D6+F6)</f>
        <v>34585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tabSelected="1" zoomScale="68" workbookViewId="0">
      <selection activeCell="L29" sqref="L29"/>
    </sheetView>
  </sheetViews>
  <sheetFormatPr defaultRowHeight="12.75" x14ac:dyDescent="0.2"/>
  <cols>
    <col min="1" max="1" width="9.85546875" customWidth="1"/>
    <col min="2" max="2" width="17.7109375" customWidth="1"/>
    <col min="3" max="3" width="14.7109375" customWidth="1"/>
    <col min="4" max="4" width="20.42578125" customWidth="1"/>
    <col min="5" max="5" width="14.7109375" customWidth="1"/>
    <col min="7" max="7" width="18.140625" bestFit="1" customWidth="1"/>
    <col min="8" max="8" width="9.42578125" customWidth="1"/>
    <col min="10" max="10" width="31.28515625" customWidth="1"/>
    <col min="11" max="11" width="22.7109375" customWidth="1"/>
    <col min="12" max="12" width="21.5703125" customWidth="1"/>
    <col min="13" max="13" width="10.85546875" customWidth="1"/>
    <col min="14" max="14" width="13.85546875" customWidth="1"/>
    <col min="15" max="15" width="25.5703125" customWidth="1"/>
    <col min="16" max="16" width="17" customWidth="1"/>
    <col min="17" max="17" width="16" customWidth="1"/>
  </cols>
  <sheetData>
    <row r="1" spans="1:17" x14ac:dyDescent="0.2">
      <c r="A1" s="12" t="s">
        <v>309</v>
      </c>
      <c r="B1" s="12" t="s">
        <v>335</v>
      </c>
      <c r="C1" s="12" t="s">
        <v>336</v>
      </c>
      <c r="D1" s="12" t="s">
        <v>8</v>
      </c>
      <c r="E1" s="12" t="s">
        <v>9</v>
      </c>
      <c r="G1" s="12" t="s">
        <v>337</v>
      </c>
      <c r="H1" s="12" t="s">
        <v>338</v>
      </c>
      <c r="J1" s="12" t="s">
        <v>339</v>
      </c>
      <c r="K1" s="12" t="s">
        <v>340</v>
      </c>
      <c r="L1" s="12" t="s">
        <v>341</v>
      </c>
      <c r="M1" t="s">
        <v>347</v>
      </c>
      <c r="N1" s="12" t="s">
        <v>342</v>
      </c>
      <c r="O1" s="12" t="s">
        <v>343</v>
      </c>
      <c r="P1" s="12" t="s">
        <v>344</v>
      </c>
      <c r="Q1" s="12" t="s">
        <v>345</v>
      </c>
    </row>
    <row r="2" spans="1:17" x14ac:dyDescent="0.2">
      <c r="A2" t="s">
        <v>216</v>
      </c>
      <c r="B2">
        <f>SUMIF(Inventory!A:A,A2,Inventory!G:G)</f>
        <v>150</v>
      </c>
      <c r="C2">
        <f>SUMIF(Inventory!A:A,A2,Inventory!H:H)</f>
        <v>3</v>
      </c>
      <c r="D2">
        <f>SUMIF(Inventory!A:A,A2,Inventory!I:I)</f>
        <v>0</v>
      </c>
      <c r="E2">
        <f>SUMIF(Inventory!A:A,A2,Inventory!J:J)</f>
        <v>147</v>
      </c>
      <c r="G2" t="s">
        <v>312</v>
      </c>
      <c r="H2">
        <f>SUM(Sales!E:E)</f>
        <v>416195</v>
      </c>
      <c r="J2">
        <f>SUM(Salary!E:E)</f>
        <v>416195</v>
      </c>
      <c r="K2">
        <f>SUM(Salary!F:F)</f>
        <v>208097.5</v>
      </c>
      <c r="L2">
        <f>SUM(Salary!G:G)</f>
        <v>248097.5</v>
      </c>
      <c r="N2" t="s">
        <v>321</v>
      </c>
      <c r="O2">
        <f>INDEX(Salary!E:E,2)</f>
        <v>171925</v>
      </c>
      <c r="P2">
        <f>INDEX(Salary!F:F,2)</f>
        <v>85962.5</v>
      </c>
      <c r="Q2">
        <f>INDEX(Salary!G:G,2)</f>
        <v>93962.5</v>
      </c>
    </row>
    <row r="3" spans="1:17" x14ac:dyDescent="0.2">
      <c r="A3" t="s">
        <v>92</v>
      </c>
      <c r="B3">
        <f>SUMIF(Inventory!A:A,A3,Inventory!G:G)</f>
        <v>150</v>
      </c>
      <c r="C3">
        <f>SUMIF(Inventory!A:A,A3,Inventory!H:H)</f>
        <v>0</v>
      </c>
      <c r="D3">
        <f>SUMIF(Inventory!A:A,A3,Inventory!I:I)</f>
        <v>0</v>
      </c>
      <c r="E3">
        <f>SUMIF(Inventory!A:A,A3,Inventory!J:J)</f>
        <v>150</v>
      </c>
      <c r="G3" t="s">
        <v>346</v>
      </c>
      <c r="H3">
        <f>SUM(Sales!D:D)</f>
        <v>76</v>
      </c>
      <c r="N3" t="s">
        <v>324</v>
      </c>
      <c r="O3">
        <f>INDEX(Salary!E:E,3)</f>
        <v>140400</v>
      </c>
      <c r="P3">
        <f>INDEX(Salary!F:F,3)</f>
        <v>70200</v>
      </c>
      <c r="Q3">
        <f>INDEX(Salary!G:G,3)</f>
        <v>78200</v>
      </c>
    </row>
    <row r="4" spans="1:17" x14ac:dyDescent="0.2">
      <c r="A4" t="s">
        <v>123</v>
      </c>
      <c r="B4">
        <f>SUMIF(Inventory!A:A,A4,Inventory!G:G)</f>
        <v>150</v>
      </c>
      <c r="C4">
        <f>SUMIF(Inventory!A:A,A4,Inventory!H:H)</f>
        <v>0</v>
      </c>
      <c r="D4">
        <f>SUMIF(Inventory!A:A,A4,Inventory!I:I)</f>
        <v>0</v>
      </c>
      <c r="E4">
        <f>SUMIF(Inventory!A:A,A4,Inventory!J:J)</f>
        <v>150</v>
      </c>
      <c r="N4" t="s">
        <v>327</v>
      </c>
      <c r="O4">
        <f>INDEX(Salary!E:E,4)</f>
        <v>17810</v>
      </c>
      <c r="P4">
        <f>INDEX(Salary!F:F,4)</f>
        <v>8905</v>
      </c>
      <c r="Q4">
        <f>INDEX(Salary!G:G,4)</f>
        <v>16905</v>
      </c>
    </row>
    <row r="5" spans="1:17" x14ac:dyDescent="0.2">
      <c r="A5" t="s">
        <v>10</v>
      </c>
      <c r="B5">
        <f>SUMIF(Inventory!A:A,A5,Inventory!G:G)</f>
        <v>150</v>
      </c>
      <c r="C5">
        <f>SUMIF(Inventory!A:A,A5,Inventory!H:H)</f>
        <v>23</v>
      </c>
      <c r="D5">
        <f>SUMIF(Inventory!A:A,A5,Inventory!I:I)</f>
        <v>0</v>
      </c>
      <c r="E5">
        <f>SUMIF(Inventory!A:A,A5,Inventory!J:J)</f>
        <v>127</v>
      </c>
      <c r="N5" t="s">
        <v>330</v>
      </c>
      <c r="O5">
        <f>INDEX(Salary!E:E,5)</f>
        <v>32890</v>
      </c>
      <c r="P5">
        <f>INDEX(Salary!F:F,5)</f>
        <v>16445</v>
      </c>
      <c r="Q5">
        <f>INDEX(Salary!G:G,5)</f>
        <v>24445</v>
      </c>
    </row>
    <row r="6" spans="1:17" x14ac:dyDescent="0.2">
      <c r="A6" t="s">
        <v>185</v>
      </c>
      <c r="B6">
        <f>SUMIF(Inventory!A:A,A6,Inventory!G:G)</f>
        <v>150</v>
      </c>
      <c r="C6">
        <f>SUMIF(Inventory!A:A,A6,Inventory!H:H)</f>
        <v>9</v>
      </c>
      <c r="D6">
        <f>SUMIF(Inventory!A:A,A6,Inventory!I:I)</f>
        <v>0</v>
      </c>
      <c r="E6">
        <f>SUMIF(Inventory!A:A,A6,Inventory!J:J)</f>
        <v>141</v>
      </c>
      <c r="N6" t="s">
        <v>333</v>
      </c>
      <c r="O6">
        <f>INDEX(Salary!E:E,6)</f>
        <v>53170</v>
      </c>
      <c r="P6">
        <f>INDEX(Salary!F:F,6)</f>
        <v>26585</v>
      </c>
      <c r="Q6">
        <f>INDEX(Salary!G:G,6)</f>
        <v>34585</v>
      </c>
    </row>
    <row r="7" spans="1:17" x14ac:dyDescent="0.2">
      <c r="A7" t="s">
        <v>61</v>
      </c>
      <c r="B7">
        <f>SUMIF(Inventory!A:A,A7,Inventory!G:G)</f>
        <v>150</v>
      </c>
      <c r="C7">
        <f>SUMIF(Inventory!A:A,A7,Inventory!H:H)</f>
        <v>16</v>
      </c>
      <c r="D7">
        <f>SUMIF(Inventory!A:A,A7,Inventory!I:I)</f>
        <v>0</v>
      </c>
      <c r="E7">
        <f>SUMIF(Inventory!A:A,A7,Inventory!J:J)</f>
        <v>134</v>
      </c>
    </row>
    <row r="8" spans="1:17" x14ac:dyDescent="0.2">
      <c r="A8" t="s">
        <v>30</v>
      </c>
      <c r="B8">
        <f>SUMIF(Inventory!A:A,A8,Inventory!G:G)</f>
        <v>150</v>
      </c>
      <c r="C8">
        <f>SUMIF(Inventory!A:A,A8,Inventory!H:H)</f>
        <v>0</v>
      </c>
      <c r="D8">
        <f>SUMIF(Inventory!A:A,A8,Inventory!I:I)</f>
        <v>0</v>
      </c>
      <c r="E8">
        <f>SUMIF(Inventory!A:A,A8,Inventory!J:J)</f>
        <v>150</v>
      </c>
    </row>
    <row r="9" spans="1:17" x14ac:dyDescent="0.2">
      <c r="A9" t="s">
        <v>154</v>
      </c>
      <c r="B9">
        <f>SUMIF(Inventory!A:A,A9,Inventory!G:G)</f>
        <v>150</v>
      </c>
      <c r="C9">
        <f>SUMIF(Inventory!A:A,A9,Inventory!H:H)</f>
        <v>7</v>
      </c>
      <c r="D9">
        <f>SUMIF(Inventory!A:A,A9,Inventory!I:I)</f>
        <v>0</v>
      </c>
      <c r="E9">
        <f>SUMIF(Inventory!A:A,A9,Inventory!J:J)</f>
        <v>143</v>
      </c>
    </row>
    <row r="10" spans="1:17" x14ac:dyDescent="0.2">
      <c r="A10" t="s">
        <v>247</v>
      </c>
      <c r="B10">
        <f>SUMIF(Inventory!A:A,A10,Inventory!G:G)</f>
        <v>150</v>
      </c>
      <c r="C10">
        <f>SUMIF(Inventory!A:A,A10,Inventory!H:H)</f>
        <v>12</v>
      </c>
      <c r="D10">
        <f>SUMIF(Inventory!A:A,A10,Inventory!I:I)</f>
        <v>0</v>
      </c>
      <c r="E10">
        <f>SUMIF(Inventory!A:A,A10,Inventory!J:J)</f>
        <v>138</v>
      </c>
    </row>
    <row r="11" spans="1:17" x14ac:dyDescent="0.2">
      <c r="A11" t="s">
        <v>278</v>
      </c>
      <c r="B11">
        <f>SUMIF(Inventory!A:A,A11,Inventory!G:G)</f>
        <v>150</v>
      </c>
      <c r="C11">
        <f>SUMIF(Inventory!A:A,A11,Inventory!H:H)</f>
        <v>6</v>
      </c>
      <c r="D11">
        <f>SUMIF(Inventory!A:A,A11,Inventory!I:I)</f>
        <v>0</v>
      </c>
      <c r="E11">
        <f>SUMIF(Inventory!A:A,A11,Inventory!J:J)</f>
        <v>144</v>
      </c>
    </row>
  </sheetData>
  <pageMargins left="0.75" right="0.75" top="1" bottom="1" header="0.5" footer="0.5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Sales</vt:lpstr>
      <vt:lpstr>Salary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AIMAN EBRAHIM AHMED AL-BAHRI</cp:lastModifiedBy>
  <dcterms:created xsi:type="dcterms:W3CDTF">2026-01-24T10:04:21Z</dcterms:created>
  <dcterms:modified xsi:type="dcterms:W3CDTF">2026-02-25T16:08:08Z</dcterms:modified>
</cp:coreProperties>
</file>